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1757B4D7-02B1-444B-9A75-28E39B2C6691}" xr6:coauthVersionLast="47" xr6:coauthVersionMax="47" xr10:uidLastSave="{00000000-0000-0000-0000-000000000000}"/>
  <bookViews>
    <workbookView xWindow="-120" yWindow="-120" windowWidth="20730" windowHeight="11040" activeTab="3" xr2:uid="{2A5C440F-5663-48F3-B015-C23B1A6C81AC}"/>
  </bookViews>
  <sheets>
    <sheet name="Sheet1" sheetId="2" r:id="rId1"/>
    <sheet name="Sheet2" sheetId="3" r:id="rId2"/>
    <sheet name="Sheet3" sheetId="4" r:id="rId3"/>
    <sheet name="Sheet4" sheetId="5" r:id="rId4"/>
    <sheet name="data tab" sheetId="1" r:id="rId5"/>
  </sheets>
  <calcPr calcId="0"/>
  <pivotCaches>
    <pivotCache cacheId="9" r:id="rId6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2" i="1"/>
</calcChain>
</file>

<file path=xl/sharedStrings.xml><?xml version="1.0" encoding="utf-8"?>
<sst xmlns="http://schemas.openxmlformats.org/spreadsheetml/2006/main" count="1011" uniqueCount="27">
  <si>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</si>
  <si>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</si>
  <si>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</si>
  <si>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</si>
  <si>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</si>
  <si>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</si>
  <si>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</si>
  <si>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</si>
  <si>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</si>
  <si>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</si>
  <si>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</si>
  <si>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</si>
  <si>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</si>
  <si>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</si>
  <si>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</si>
  <si>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</si>
  <si>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</si>
  <si>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Revenue per Person</t>
  </si>
  <si>
    <t>Row Labels</t>
  </si>
  <si>
    <t>(blank)</t>
  </si>
  <si>
    <t>Grand Total</t>
  </si>
  <si>
    <t>Sum of total_bill</t>
  </si>
  <si>
    <t>Day</t>
  </si>
  <si>
    <t>Time</t>
  </si>
  <si>
    <t>Tip %</t>
  </si>
  <si>
    <t>Average of Tip Percentage</t>
  </si>
  <si>
    <t>Count of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</si>
</sst>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Joshi" refreshedDate="46127.665511689818" createdVersion="8" refreshedVersion="8" minRefreshableVersion="3" recordCount="247" xr:uid="{6C27BBB4-E791-4EB3-8525-72E437456A64}">
  <cacheSource type="worksheet">
    <worksheetSource ref="A1:I1048576" sheet="data tab"/>
  </cacheSource>
  <cacheFields count="9">
    <cacheField name="total_bill" numFmtId="0">
      <sharedItems containsString="0" containsBlank="1" containsNumber="1" minValue="3.07" maxValue="50.81"/>
    </cacheField>
    <cacheField name="tip" numFmtId="0">
      <sharedItems containsString="0" containsBlank="1" containsNumber="1" minValue="1" maxValue="10"/>
    </cacheField>
    <cacheField name="sex" numFmtId="0">
      <sharedItems containsBlank="1"/>
    </cacheField>
    <cacheField name="smoker" numFmtId="0">
      <sharedItems containsBlank="1"/>
    </cacheField>
    <cacheField name="day" numFmtId="0">
      <sharedItems containsBlank="1" count="5">
        <s v="Sun"/>
        <s v="Sat"/>
        <s v="Thur"/>
        <s v="Fri"/>
        <m/>
      </sharedItems>
    </cacheField>
    <cacheField name="time" numFmtId="0">
      <sharedItems containsBlank="1" count="3">
        <s v="Dinner"/>
        <s v="Lunch"/>
        <m/>
      </sharedItems>
    </cacheField>
    <cacheField name="size" numFmtId="0">
      <sharedItems containsString="0" containsBlank="1" containsNumber="1" containsInteger="1" minValue="1" maxValue="6" count="7">
        <n v="2"/>
        <n v="3"/>
        <n v="4"/>
        <n v="1"/>
        <n v="6"/>
        <n v="5"/>
        <m/>
      </sharedItems>
    </cacheField>
    <cacheField name="Tip Percentage" numFmtId="0">
      <sharedItems containsString="0" containsBlank="1" containsNumber="1" minValue="3.5638135851355467E-2" maxValue="0.71034482758620698" count="243">
        <n v="5.9446733372572107E-2"/>
        <n v="0.16054158607350097"/>
        <n v="0.16658733936220846"/>
        <n v="0.1397804054054054"/>
        <n v="0.14680764538430255"/>
        <n v="0.18623962040332148"/>
        <n v="0.22805017103762829"/>
        <n v="0.11607142857142858"/>
        <n v="0.13031914893617022"/>
        <n v="0.21853856562922869"/>
        <n v="0.1665043816942551"/>
        <n v="0.14180374361883155"/>
        <n v="0.10181582360570687"/>
        <n v="0.16277807921866522"/>
        <n v="0.20364126770060686"/>
        <n v="0.18164967562557924"/>
        <n v="0.16166505324298161"/>
        <n v="0.22774708410067526"/>
        <n v="0.20624631703005306"/>
        <n v="0.16222760290556903"/>
        <n v="0.22767857142857142"/>
        <n v="0.13553474618038444"/>
        <n v="0.14140773620798985"/>
        <n v="0.19228817858954844"/>
        <n v="0.16044399596367306"/>
        <n v="0.13138686131386862"/>
        <n v="0.14958863126402394"/>
        <n v="0.15760441292356187"/>
        <n v="0.19815668202764977"/>
        <n v="0.15267175572519084"/>
        <n v="0.15183246073298429"/>
        <n v="0.13623978201634876"/>
        <n v="0.19920318725099601"/>
        <n v="0.11841469308844853"/>
        <n v="0.18391451068616421"/>
        <n v="0.14962593516209477"/>
        <n v="0.12262415695892091"/>
        <n v="0.1813349084465446"/>
        <n v="0.12359550561797752"/>
        <n v="0.1598976654940838"/>
        <n v="0.13965087281795513"/>
        <n v="0.14547537227949597"/>
        <n v="0.21951219512195122"/>
        <n v="0.13636363636363638"/>
        <n v="0.18421052631578946"/>
        <n v="0.16402405686167304"/>
        <n v="0.22492127755285649"/>
        <n v="0.1851851851851852"/>
        <n v="7.1803852889667244E-2"/>
        <n v="0.16629711751662973"/>
        <n v="0.19936204146730463"/>
        <n v="0.25267249757045679"/>
        <n v="0.14938236139040506"/>
        <n v="0.15694164989939638"/>
        <n v="0.16979655712050079"/>
        <n v="0.18009235505387378"/>
        <n v="7.8926598263614839E-2"/>
        <n v="5.679666792881484E-2"/>
        <n v="0.15658362989323843"/>
        <n v="0.13942407292314066"/>
        <n v="0.15820601281419419"/>
        <n v="0.14482259232440259"/>
        <n v="0.17967332123411978"/>
        <n v="0.20557681793329688"/>
        <n v="0.15008527572484368"/>
        <n v="0.15687250996015936"/>
        <n v="0.1501519756838906"/>
        <n v="0.32573289902280134"/>
        <n v="9.9357390014829447E-2"/>
        <n v="0.13924050632911392"/>
        <n v="0.16389351081530781"/>
        <n v="0.1757469244288225"/>
        <n v="0.11690245718540582"/>
        <n v="0.19778481012658228"/>
        <n v="0.14935505770536323"/>
        <n v="0.11893434823977164"/>
        <n v="0.171875"/>
        <n v="0.14705882352941177"/>
        <n v="0.13181019332161686"/>
        <n v="0.15673799884326201"/>
        <n v="0.15432098765432098"/>
        <n v="0.20408163265306123"/>
        <n v="0.18172790466732869"/>
        <n v="0.15299877600979192"/>
        <n v="0.12703379224030037"/>
        <n v="0.14843525696238874"/>
        <n v="0.15349194167306218"/>
        <n v="0.21881838074398249"/>
        <n v="0.23674625657628487"/>
        <n v="0.14177693761814744"/>
        <n v="0.10355540214014498"/>
        <n v="0.15562472209871056"/>
        <n v="0.17391304347826086"/>
        <n v="0.26348039215686275"/>
        <n v="0.14285714285714285"/>
        <n v="0.1177495643515061"/>
        <n v="0.14662756598240467"/>
        <n v="0.12468827930174564"/>
        <n v="0.1427891480247501"/>
        <n v="0.1203852327447833"/>
        <n v="0.22026431718061676"/>
        <n v="0.19505851755526657"/>
        <n v="5.6433408577878111E-2"/>
        <n v="0.15521855486173058"/>
        <n v="0.19502868068833651"/>
        <n v="0.10677083333333333"/>
        <n v="0.19814543679843827"/>
        <n v="0.17017056723522411"/>
        <n v="0.20614035087719298"/>
        <n v="0.27952480782669459"/>
        <n v="0.21428571428571427"/>
        <n v="0.13793103448275862"/>
        <n v="0.10506960861570791"/>
        <n v="0.10647181628392484"/>
        <n v="0.15558148580318942"/>
        <n v="0.20219526285384173"/>
        <n v="0.1693952555963916"/>
        <n v="0.14084507042253522"/>
        <n v="0.14481094127111827"/>
        <n v="0.1212624584717608"/>
        <n v="0.19760479041916168"/>
        <n v="0.12518628912071533"/>
        <n v="0.17531556802244039"/>
        <n v="0.12539184952978058"/>
        <n v="0.20192307692307693"/>
        <n v="0.14093959731543623"/>
        <n v="0.17370892018779344"/>
        <n v="0.13774104683195593"/>
        <n v="0.17574692442882248"/>
        <n v="9.5530236634531113E-2"/>
        <n v="7.8616352201257872E-2"/>
        <n v="0.13961519486926494"/>
        <n v="0.13428827215756492"/>
        <n v="0.16313213703099511"/>
        <n v="0.17798466593647316"/>
        <n v="0.14688601645123384"/>
        <n v="0.1936108422071636"/>
        <n v="0.14134275618374559"/>
        <n v="0.125"/>
        <n v="0.20896656534954408"/>
        <n v="0.20034344590726963"/>
        <n v="0.19533527696793004"/>
        <n v="0.12138868657441128"/>
        <n v="0.18484288354898337"/>
        <n v="0.13998782714546559"/>
        <n v="0.17964071856287425"/>
        <n v="7.2961373390557943E-2"/>
        <n v="0.13732097725358045"/>
        <n v="0.17689161554192229"/>
        <n v="0.26631158455392812"/>
        <n v="0.17768301350390903"/>
        <n v="0.15232292460015232"/>
        <n v="0.15874855156431053"/>
        <n v="8.1466395112016296E-2"/>
        <n v="0.10116337885685382"/>
        <n v="0.17219430485762141"/>
        <n v="0.10379904504878555"/>
        <n v="0.15"/>
        <n v="0.19492158327109782"/>
        <n v="0.12128562765312312"/>
        <n v="0.16279069767441862"/>
        <n v="0.19747235387045814"/>
        <n v="0.12338062924120913"/>
        <n v="0.17133066818960593"/>
        <n v="0.14192495921696574"/>
        <n v="0.10789980732177264"/>
        <n v="0.14191106906338694"/>
        <n v="0.15203021718602455"/>
        <n v="0.18814675446848542"/>
        <n v="0.19681165124975397"/>
        <n v="0.19987349778621127"/>
        <n v="0.71034482758620698"/>
        <n v="9.9843014128728411E-2"/>
        <n v="0.23781212841854935"/>
        <n v="9.4528875379939203E-2"/>
        <n v="0.11179429849077696"/>
        <n v="0.13812154696132597"/>
        <n v="0.41666666666666669"/>
        <n v="0.102512272596015"/>
        <n v="0.10620490620490622"/>
        <n v="0.24217745392198889"/>
        <n v="7.7177508269018744E-2"/>
        <n v="0.28053517479499351"/>
        <n v="7.3982737361282372E-2"/>
        <n v="0.24166263895601739"/>
        <n v="0.1674641148325359"/>
        <n v="6.5659881812212731E-2"/>
        <n v="0.1928374655647383"/>
        <n v="0.17316017316017315"/>
        <n v="9.5602294455066919E-2"/>
        <n v="0.21150933871781932"/>
        <n v="9.0014064697609003E-2"/>
        <n v="0.13049095607235142"/>
        <n v="0.24125452352231608"/>
        <n v="0.19047619047619047"/>
        <n v="0.19342359767891684"/>
        <n v="0.11598237067965669"/>
        <n v="0.15384615384615385"/>
        <n v="0.14803849000740193"/>
        <n v="0.2137894174238375"/>
        <n v="0.15777080062794346"/>
        <n v="0.15243902439024393"/>
        <n v="0.19483682415976619"/>
        <n v="0.19611414693381907"/>
        <n v="0.1282437006393381"/>
        <n v="7.7459333849728904E-2"/>
        <n v="8.3642356819118246E-2"/>
        <n v="0.17476489028213166"/>
        <n v="6.6533599467731214E-2"/>
        <n v="0.19930475086906141"/>
        <n v="0.18621973929236499"/>
        <n v="0.18839487565938207"/>
        <n v="0.23074192403265883"/>
        <n v="8.5271317829457363E-2"/>
        <n v="0.10657193605683837"/>
        <n v="0.12942191544434858"/>
        <n v="0.18604651162790697"/>
        <n v="0.10252156602521566"/>
        <n v="0.18092105263157895"/>
        <n v="0.25931445603576753"/>
        <n v="0.22377622377622378"/>
        <n v="0.18773466833541927"/>
        <n v="0.11773472429210134"/>
        <n v="0.15365703749231716"/>
        <n v="0.19821605550049554"/>
        <n v="0.14669926650366749"/>
        <n v="0.20481927710843376"/>
        <n v="0.13019891500904157"/>
        <n v="8.3298625572678045E-2"/>
        <n v="0.19120458891013384"/>
        <n v="0.29198966408268734"/>
        <n v="0.13649025069637882"/>
        <n v="0.19317450096587252"/>
        <n v="0.12413108242303872"/>
        <n v="7.9365079365079361E-2"/>
        <n v="3.5638135851355467E-2"/>
        <n v="0.13033770583310075"/>
        <n v="0.20392697209782981"/>
        <n v="7.358351729212656E-2"/>
        <n v="8.8222320247022493E-2"/>
        <n v="9.8204264870931535E-2"/>
        <n v="0.15974440894568689"/>
        <m/>
      </sharedItems>
    </cacheField>
    <cacheField name="Revenue per Person" numFmtId="0">
      <sharedItems containsString="0" containsBlank="1" containsNumber="1" minValue="2.875" maxValue="20.274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16.989999999999998"/>
    <n v="1.01"/>
    <s v="Female"/>
    <s v="No"/>
    <x v="0"/>
    <x v="0"/>
    <x v="0"/>
    <x v="0"/>
    <n v="8.4949999999999992"/>
  </r>
  <r>
    <n v="10.34"/>
    <n v="1.66"/>
    <s v="Male"/>
    <s v="No"/>
    <x v="0"/>
    <x v="0"/>
    <x v="1"/>
    <x v="1"/>
    <n v="3.4466666666666668"/>
  </r>
  <r>
    <n v="21.01"/>
    <n v="3.5"/>
    <s v="Male"/>
    <s v="No"/>
    <x v="0"/>
    <x v="0"/>
    <x v="1"/>
    <x v="2"/>
    <n v="7.0033333333333339"/>
  </r>
  <r>
    <n v="23.68"/>
    <n v="3.31"/>
    <s v="Male"/>
    <s v="No"/>
    <x v="0"/>
    <x v="0"/>
    <x v="0"/>
    <x v="3"/>
    <n v="11.84"/>
  </r>
  <r>
    <n v="24.59"/>
    <n v="3.61"/>
    <s v="Female"/>
    <s v="No"/>
    <x v="0"/>
    <x v="0"/>
    <x v="2"/>
    <x v="4"/>
    <n v="6.1475"/>
  </r>
  <r>
    <n v="25.29"/>
    <n v="4.71"/>
    <s v="Male"/>
    <s v="No"/>
    <x v="0"/>
    <x v="0"/>
    <x v="2"/>
    <x v="5"/>
    <n v="6.3224999999999998"/>
  </r>
  <r>
    <n v="8.77"/>
    <n v="2"/>
    <s v="Male"/>
    <s v="No"/>
    <x v="0"/>
    <x v="0"/>
    <x v="0"/>
    <x v="6"/>
    <n v="4.3849999999999998"/>
  </r>
  <r>
    <n v="26.88"/>
    <n v="3.12"/>
    <s v="Male"/>
    <s v="No"/>
    <x v="0"/>
    <x v="0"/>
    <x v="2"/>
    <x v="7"/>
    <n v="6.72"/>
  </r>
  <r>
    <n v="15.04"/>
    <n v="1.96"/>
    <s v="Male"/>
    <s v="No"/>
    <x v="0"/>
    <x v="0"/>
    <x v="0"/>
    <x v="8"/>
    <n v="7.52"/>
  </r>
  <r>
    <n v="14.78"/>
    <n v="3.23"/>
    <s v="Male"/>
    <s v="No"/>
    <x v="0"/>
    <x v="0"/>
    <x v="0"/>
    <x v="9"/>
    <n v="7.39"/>
  </r>
  <r>
    <n v="10.27"/>
    <n v="1.71"/>
    <s v="Male"/>
    <s v="No"/>
    <x v="0"/>
    <x v="0"/>
    <x v="0"/>
    <x v="10"/>
    <n v="5.1349999999999998"/>
  </r>
  <r>
    <n v="35.26"/>
    <n v="5"/>
    <s v="Female"/>
    <s v="No"/>
    <x v="0"/>
    <x v="0"/>
    <x v="2"/>
    <x v="11"/>
    <n v="8.8149999999999995"/>
  </r>
  <r>
    <n v="15.42"/>
    <n v="1.57"/>
    <s v="Male"/>
    <s v="No"/>
    <x v="0"/>
    <x v="0"/>
    <x v="0"/>
    <x v="12"/>
    <n v="7.71"/>
  </r>
  <r>
    <n v="18.43"/>
    <n v="3"/>
    <s v="Male"/>
    <s v="No"/>
    <x v="0"/>
    <x v="0"/>
    <x v="2"/>
    <x v="13"/>
    <n v="4.6074999999999999"/>
  </r>
  <r>
    <n v="14.83"/>
    <n v="3.02"/>
    <s v="Female"/>
    <s v="No"/>
    <x v="0"/>
    <x v="0"/>
    <x v="0"/>
    <x v="14"/>
    <n v="7.415"/>
  </r>
  <r>
    <n v="21.58"/>
    <n v="3.92"/>
    <s v="Male"/>
    <s v="No"/>
    <x v="0"/>
    <x v="0"/>
    <x v="0"/>
    <x v="15"/>
    <n v="10.79"/>
  </r>
  <r>
    <n v="10.33"/>
    <n v="1.67"/>
    <s v="Female"/>
    <s v="No"/>
    <x v="0"/>
    <x v="0"/>
    <x v="1"/>
    <x v="16"/>
    <n v="3.4433333333333334"/>
  </r>
  <r>
    <n v="16.29"/>
    <n v="3.71"/>
    <s v="Male"/>
    <s v="No"/>
    <x v="0"/>
    <x v="0"/>
    <x v="1"/>
    <x v="17"/>
    <n v="5.43"/>
  </r>
  <r>
    <n v="16.97"/>
    <n v="3.5"/>
    <s v="Female"/>
    <s v="No"/>
    <x v="0"/>
    <x v="0"/>
    <x v="1"/>
    <x v="18"/>
    <n v="5.6566666666666663"/>
  </r>
  <r>
    <n v="20.65"/>
    <n v="3.35"/>
    <s v="Male"/>
    <s v="No"/>
    <x v="1"/>
    <x v="0"/>
    <x v="1"/>
    <x v="19"/>
    <n v="6.8833333333333329"/>
  </r>
  <r>
    <n v="17.920000000000002"/>
    <n v="4.08"/>
    <s v="Male"/>
    <s v="No"/>
    <x v="1"/>
    <x v="0"/>
    <x v="0"/>
    <x v="20"/>
    <n v="8.9600000000000009"/>
  </r>
  <r>
    <n v="20.29"/>
    <n v="2.75"/>
    <s v="Female"/>
    <s v="No"/>
    <x v="1"/>
    <x v="0"/>
    <x v="0"/>
    <x v="21"/>
    <n v="10.145"/>
  </r>
  <r>
    <n v="15.77"/>
    <n v="2.23"/>
    <s v="Female"/>
    <s v="No"/>
    <x v="1"/>
    <x v="0"/>
    <x v="0"/>
    <x v="22"/>
    <n v="7.8849999999999998"/>
  </r>
  <r>
    <n v="39.42"/>
    <n v="7.58"/>
    <s v="Male"/>
    <s v="No"/>
    <x v="1"/>
    <x v="0"/>
    <x v="2"/>
    <x v="23"/>
    <n v="9.8550000000000004"/>
  </r>
  <r>
    <n v="19.82"/>
    <n v="3.18"/>
    <s v="Male"/>
    <s v="No"/>
    <x v="1"/>
    <x v="0"/>
    <x v="0"/>
    <x v="24"/>
    <n v="9.91"/>
  </r>
  <r>
    <n v="17.809999999999999"/>
    <n v="2.34"/>
    <s v="Male"/>
    <s v="No"/>
    <x v="1"/>
    <x v="0"/>
    <x v="2"/>
    <x v="25"/>
    <n v="4.4524999999999997"/>
  </r>
  <r>
    <n v="13.37"/>
    <n v="2"/>
    <s v="Male"/>
    <s v="No"/>
    <x v="1"/>
    <x v="0"/>
    <x v="0"/>
    <x v="26"/>
    <n v="6.6849999999999996"/>
  </r>
  <r>
    <n v="12.69"/>
    <n v="2"/>
    <s v="Male"/>
    <s v="No"/>
    <x v="1"/>
    <x v="0"/>
    <x v="0"/>
    <x v="27"/>
    <n v="6.3449999999999998"/>
  </r>
  <r>
    <n v="21.7"/>
    <n v="4.3"/>
    <s v="Male"/>
    <s v="No"/>
    <x v="1"/>
    <x v="0"/>
    <x v="0"/>
    <x v="28"/>
    <n v="10.85"/>
  </r>
  <r>
    <n v="19.649999999999999"/>
    <n v="3"/>
    <s v="Female"/>
    <s v="No"/>
    <x v="1"/>
    <x v="0"/>
    <x v="0"/>
    <x v="29"/>
    <n v="9.8249999999999993"/>
  </r>
  <r>
    <n v="9.5500000000000007"/>
    <n v="1.45"/>
    <s v="Male"/>
    <s v="No"/>
    <x v="1"/>
    <x v="0"/>
    <x v="0"/>
    <x v="30"/>
    <n v="4.7750000000000004"/>
  </r>
  <r>
    <n v="18.350000000000001"/>
    <n v="2.5"/>
    <s v="Male"/>
    <s v="No"/>
    <x v="1"/>
    <x v="0"/>
    <x v="2"/>
    <x v="31"/>
    <n v="4.5875000000000004"/>
  </r>
  <r>
    <n v="15.06"/>
    <n v="3"/>
    <s v="Female"/>
    <s v="No"/>
    <x v="1"/>
    <x v="0"/>
    <x v="0"/>
    <x v="32"/>
    <n v="7.53"/>
  </r>
  <r>
    <n v="20.69"/>
    <n v="2.4500000000000002"/>
    <s v="Female"/>
    <s v="No"/>
    <x v="1"/>
    <x v="0"/>
    <x v="2"/>
    <x v="33"/>
    <n v="5.1725000000000003"/>
  </r>
  <r>
    <n v="17.78"/>
    <n v="3.27"/>
    <s v="Male"/>
    <s v="No"/>
    <x v="1"/>
    <x v="0"/>
    <x v="0"/>
    <x v="34"/>
    <n v="8.89"/>
  </r>
  <r>
    <n v="24.06"/>
    <n v="3.6"/>
    <s v="Male"/>
    <s v="No"/>
    <x v="1"/>
    <x v="0"/>
    <x v="1"/>
    <x v="35"/>
    <n v="8.02"/>
  </r>
  <r>
    <n v="16.309999999999999"/>
    <n v="2"/>
    <s v="Male"/>
    <s v="No"/>
    <x v="1"/>
    <x v="0"/>
    <x v="1"/>
    <x v="36"/>
    <n v="5.4366666666666665"/>
  </r>
  <r>
    <n v="16.93"/>
    <n v="3.07"/>
    <s v="Female"/>
    <s v="No"/>
    <x v="1"/>
    <x v="0"/>
    <x v="1"/>
    <x v="37"/>
    <n v="5.6433333333333335"/>
  </r>
  <r>
    <n v="18.690000000000001"/>
    <n v="2.31"/>
    <s v="Male"/>
    <s v="No"/>
    <x v="1"/>
    <x v="0"/>
    <x v="1"/>
    <x v="38"/>
    <n v="6.23"/>
  </r>
  <r>
    <n v="31.27"/>
    <n v="5"/>
    <s v="Male"/>
    <s v="No"/>
    <x v="1"/>
    <x v="0"/>
    <x v="1"/>
    <x v="39"/>
    <n v="10.423333333333334"/>
  </r>
  <r>
    <n v="16.04"/>
    <n v="2.2400000000000002"/>
    <s v="Male"/>
    <s v="No"/>
    <x v="1"/>
    <x v="0"/>
    <x v="1"/>
    <x v="40"/>
    <n v="5.3466666666666667"/>
  </r>
  <r>
    <n v="17.46"/>
    <n v="2.54"/>
    <s v="Male"/>
    <s v="No"/>
    <x v="0"/>
    <x v="0"/>
    <x v="0"/>
    <x v="41"/>
    <n v="8.73"/>
  </r>
  <r>
    <n v="13.94"/>
    <n v="3.06"/>
    <s v="Male"/>
    <s v="No"/>
    <x v="0"/>
    <x v="0"/>
    <x v="0"/>
    <x v="42"/>
    <n v="6.97"/>
  </r>
  <r>
    <n v="9.68"/>
    <n v="1.32"/>
    <s v="Male"/>
    <s v="No"/>
    <x v="0"/>
    <x v="0"/>
    <x v="0"/>
    <x v="43"/>
    <n v="4.84"/>
  </r>
  <r>
    <n v="30.4"/>
    <n v="5.6"/>
    <s v="Male"/>
    <s v="No"/>
    <x v="0"/>
    <x v="0"/>
    <x v="2"/>
    <x v="44"/>
    <n v="7.6"/>
  </r>
  <r>
    <n v="18.29"/>
    <n v="3"/>
    <s v="Male"/>
    <s v="No"/>
    <x v="0"/>
    <x v="0"/>
    <x v="0"/>
    <x v="45"/>
    <n v="9.1449999999999996"/>
  </r>
  <r>
    <n v="22.23"/>
    <n v="5"/>
    <s v="Male"/>
    <s v="No"/>
    <x v="0"/>
    <x v="0"/>
    <x v="0"/>
    <x v="46"/>
    <n v="11.115"/>
  </r>
  <r>
    <n v="32.4"/>
    <n v="6"/>
    <s v="Male"/>
    <s v="No"/>
    <x v="0"/>
    <x v="0"/>
    <x v="2"/>
    <x v="47"/>
    <n v="8.1"/>
  </r>
  <r>
    <n v="28.55"/>
    <n v="2.0499999999999998"/>
    <s v="Male"/>
    <s v="No"/>
    <x v="0"/>
    <x v="0"/>
    <x v="1"/>
    <x v="48"/>
    <n v="9.5166666666666675"/>
  </r>
  <r>
    <n v="18.04"/>
    <n v="3"/>
    <s v="Male"/>
    <s v="No"/>
    <x v="0"/>
    <x v="0"/>
    <x v="0"/>
    <x v="49"/>
    <n v="9.02"/>
  </r>
  <r>
    <n v="12.54"/>
    <n v="2.5"/>
    <s v="Male"/>
    <s v="No"/>
    <x v="0"/>
    <x v="0"/>
    <x v="0"/>
    <x v="50"/>
    <n v="6.27"/>
  </r>
  <r>
    <n v="10.29"/>
    <n v="2.6"/>
    <s v="Female"/>
    <s v="No"/>
    <x v="0"/>
    <x v="0"/>
    <x v="0"/>
    <x v="51"/>
    <n v="5.1449999999999996"/>
  </r>
  <r>
    <n v="34.81"/>
    <n v="5.2"/>
    <s v="Female"/>
    <s v="No"/>
    <x v="0"/>
    <x v="0"/>
    <x v="2"/>
    <x v="52"/>
    <n v="8.7025000000000006"/>
  </r>
  <r>
    <n v="9.94"/>
    <n v="1.56"/>
    <s v="Male"/>
    <s v="No"/>
    <x v="0"/>
    <x v="0"/>
    <x v="0"/>
    <x v="53"/>
    <n v="4.97"/>
  </r>
  <r>
    <n v="25.56"/>
    <n v="4.34"/>
    <s v="Male"/>
    <s v="No"/>
    <x v="0"/>
    <x v="0"/>
    <x v="2"/>
    <x v="54"/>
    <n v="6.39"/>
  </r>
  <r>
    <n v="19.489999999999998"/>
    <n v="3.51"/>
    <s v="Male"/>
    <s v="No"/>
    <x v="0"/>
    <x v="0"/>
    <x v="0"/>
    <x v="55"/>
    <n v="9.7449999999999992"/>
  </r>
  <r>
    <n v="38.01"/>
    <n v="3"/>
    <s v="Male"/>
    <s v="Yes"/>
    <x v="1"/>
    <x v="0"/>
    <x v="2"/>
    <x v="56"/>
    <n v="9.5024999999999995"/>
  </r>
  <r>
    <n v="26.41"/>
    <n v="1.5"/>
    <s v="Female"/>
    <s v="No"/>
    <x v="1"/>
    <x v="0"/>
    <x v="0"/>
    <x v="57"/>
    <n v="13.205"/>
  </r>
  <r>
    <n v="11.24"/>
    <n v="1.76"/>
    <s v="Male"/>
    <s v="Yes"/>
    <x v="1"/>
    <x v="0"/>
    <x v="0"/>
    <x v="58"/>
    <n v="5.62"/>
  </r>
  <r>
    <n v="48.27"/>
    <n v="6.73"/>
    <s v="Male"/>
    <s v="No"/>
    <x v="1"/>
    <x v="0"/>
    <x v="2"/>
    <x v="59"/>
    <n v="12.067500000000001"/>
  </r>
  <r>
    <n v="20.29"/>
    <n v="3.21"/>
    <s v="Male"/>
    <s v="Yes"/>
    <x v="1"/>
    <x v="0"/>
    <x v="0"/>
    <x v="60"/>
    <n v="10.145"/>
  </r>
  <r>
    <n v="13.81"/>
    <n v="2"/>
    <s v="Male"/>
    <s v="Yes"/>
    <x v="1"/>
    <x v="0"/>
    <x v="0"/>
    <x v="61"/>
    <n v="6.9050000000000002"/>
  </r>
  <r>
    <n v="11.02"/>
    <n v="1.98"/>
    <s v="Male"/>
    <s v="Yes"/>
    <x v="1"/>
    <x v="0"/>
    <x v="0"/>
    <x v="62"/>
    <n v="5.51"/>
  </r>
  <r>
    <n v="18.29"/>
    <n v="3.76"/>
    <s v="Male"/>
    <s v="Yes"/>
    <x v="1"/>
    <x v="0"/>
    <x v="2"/>
    <x v="63"/>
    <n v="4.5724999999999998"/>
  </r>
  <r>
    <n v="17.59"/>
    <n v="2.64"/>
    <s v="Male"/>
    <s v="No"/>
    <x v="1"/>
    <x v="0"/>
    <x v="1"/>
    <x v="64"/>
    <n v="5.8633333333333333"/>
  </r>
  <r>
    <n v="20.079999999999998"/>
    <n v="3.15"/>
    <s v="Male"/>
    <s v="No"/>
    <x v="1"/>
    <x v="0"/>
    <x v="1"/>
    <x v="65"/>
    <n v="6.6933333333333325"/>
  </r>
  <r>
    <n v="16.45"/>
    <n v="2.4700000000000002"/>
    <s v="Female"/>
    <s v="No"/>
    <x v="1"/>
    <x v="0"/>
    <x v="0"/>
    <x v="66"/>
    <n v="8.2249999999999996"/>
  </r>
  <r>
    <n v="3.07"/>
    <n v="1"/>
    <s v="Female"/>
    <s v="Yes"/>
    <x v="1"/>
    <x v="0"/>
    <x v="3"/>
    <x v="67"/>
    <n v="3.07"/>
  </r>
  <r>
    <n v="20.23"/>
    <n v="2.0099999999999998"/>
    <s v="Male"/>
    <s v="No"/>
    <x v="1"/>
    <x v="0"/>
    <x v="0"/>
    <x v="68"/>
    <n v="10.115"/>
  </r>
  <r>
    <n v="15.01"/>
    <n v="2.09"/>
    <s v="Male"/>
    <s v="Yes"/>
    <x v="1"/>
    <x v="0"/>
    <x v="0"/>
    <x v="69"/>
    <n v="7.5049999999999999"/>
  </r>
  <r>
    <n v="12.02"/>
    <n v="1.97"/>
    <s v="Male"/>
    <s v="No"/>
    <x v="1"/>
    <x v="0"/>
    <x v="0"/>
    <x v="70"/>
    <n v="6.01"/>
  </r>
  <r>
    <n v="17.07"/>
    <n v="3"/>
    <s v="Female"/>
    <s v="No"/>
    <x v="1"/>
    <x v="0"/>
    <x v="1"/>
    <x v="71"/>
    <n v="5.69"/>
  </r>
  <r>
    <n v="26.86"/>
    <n v="3.14"/>
    <s v="Female"/>
    <s v="Yes"/>
    <x v="1"/>
    <x v="0"/>
    <x v="0"/>
    <x v="72"/>
    <n v="13.43"/>
  </r>
  <r>
    <n v="25.28"/>
    <n v="5"/>
    <s v="Female"/>
    <s v="Yes"/>
    <x v="1"/>
    <x v="0"/>
    <x v="0"/>
    <x v="73"/>
    <n v="12.64"/>
  </r>
  <r>
    <n v="14.73"/>
    <n v="2.2000000000000002"/>
    <s v="Female"/>
    <s v="No"/>
    <x v="1"/>
    <x v="0"/>
    <x v="0"/>
    <x v="74"/>
    <n v="7.3650000000000002"/>
  </r>
  <r>
    <n v="10.51"/>
    <n v="1.25"/>
    <s v="Male"/>
    <s v="No"/>
    <x v="1"/>
    <x v="0"/>
    <x v="0"/>
    <x v="75"/>
    <n v="5.2549999999999999"/>
  </r>
  <r>
    <n v="17.920000000000002"/>
    <n v="3.08"/>
    <s v="Male"/>
    <s v="Yes"/>
    <x v="1"/>
    <x v="0"/>
    <x v="0"/>
    <x v="76"/>
    <n v="8.9600000000000009"/>
  </r>
  <r>
    <n v="27.2"/>
    <n v="4"/>
    <s v="Male"/>
    <s v="No"/>
    <x v="2"/>
    <x v="1"/>
    <x v="2"/>
    <x v="77"/>
    <n v="6.8"/>
  </r>
  <r>
    <n v="22.76"/>
    <n v="3"/>
    <s v="Male"/>
    <s v="No"/>
    <x v="2"/>
    <x v="1"/>
    <x v="0"/>
    <x v="78"/>
    <n v="11.38"/>
  </r>
  <r>
    <n v="17.29"/>
    <n v="2.71"/>
    <s v="Male"/>
    <s v="No"/>
    <x v="2"/>
    <x v="1"/>
    <x v="0"/>
    <x v="79"/>
    <n v="8.6449999999999996"/>
  </r>
  <r>
    <n v="19.440000000000001"/>
    <n v="3"/>
    <s v="Male"/>
    <s v="Yes"/>
    <x v="2"/>
    <x v="1"/>
    <x v="0"/>
    <x v="80"/>
    <n v="9.7200000000000006"/>
  </r>
  <r>
    <n v="16.66"/>
    <n v="3.4"/>
    <s v="Male"/>
    <s v="No"/>
    <x v="2"/>
    <x v="1"/>
    <x v="0"/>
    <x v="81"/>
    <n v="8.33"/>
  </r>
  <r>
    <n v="10.07"/>
    <n v="1.83"/>
    <s v="Female"/>
    <s v="No"/>
    <x v="2"/>
    <x v="1"/>
    <x v="3"/>
    <x v="82"/>
    <n v="10.07"/>
  </r>
  <r>
    <n v="32.68"/>
    <n v="5"/>
    <s v="Male"/>
    <s v="Yes"/>
    <x v="2"/>
    <x v="1"/>
    <x v="0"/>
    <x v="83"/>
    <n v="16.34"/>
  </r>
  <r>
    <n v="15.98"/>
    <n v="2.0299999999999998"/>
    <s v="Male"/>
    <s v="No"/>
    <x v="2"/>
    <x v="1"/>
    <x v="0"/>
    <x v="84"/>
    <n v="7.99"/>
  </r>
  <r>
    <n v="34.83"/>
    <n v="5.17"/>
    <s v="Female"/>
    <s v="No"/>
    <x v="2"/>
    <x v="1"/>
    <x v="2"/>
    <x v="85"/>
    <n v="8.7074999999999996"/>
  </r>
  <r>
    <n v="13.03"/>
    <n v="2"/>
    <s v="Male"/>
    <s v="No"/>
    <x v="2"/>
    <x v="1"/>
    <x v="0"/>
    <x v="86"/>
    <n v="6.5149999999999997"/>
  </r>
  <r>
    <n v="18.28"/>
    <n v="4"/>
    <s v="Male"/>
    <s v="No"/>
    <x v="2"/>
    <x v="1"/>
    <x v="0"/>
    <x v="87"/>
    <n v="9.14"/>
  </r>
  <r>
    <n v="24.71"/>
    <n v="5.85"/>
    <s v="Male"/>
    <s v="No"/>
    <x v="2"/>
    <x v="1"/>
    <x v="0"/>
    <x v="88"/>
    <n v="12.355"/>
  </r>
  <r>
    <n v="21.16"/>
    <n v="3"/>
    <s v="Male"/>
    <s v="No"/>
    <x v="2"/>
    <x v="1"/>
    <x v="0"/>
    <x v="89"/>
    <n v="10.58"/>
  </r>
  <r>
    <n v="28.97"/>
    <n v="3"/>
    <s v="Male"/>
    <s v="Yes"/>
    <x v="3"/>
    <x v="0"/>
    <x v="0"/>
    <x v="90"/>
    <n v="14.484999999999999"/>
  </r>
  <r>
    <n v="22.49"/>
    <n v="3.5"/>
    <s v="Male"/>
    <s v="No"/>
    <x v="3"/>
    <x v="0"/>
    <x v="0"/>
    <x v="91"/>
    <n v="11.244999999999999"/>
  </r>
  <r>
    <n v="5.75"/>
    <n v="1"/>
    <s v="Female"/>
    <s v="Yes"/>
    <x v="3"/>
    <x v="0"/>
    <x v="0"/>
    <x v="92"/>
    <n v="2.875"/>
  </r>
  <r>
    <n v="16.32"/>
    <n v="4.3"/>
    <s v="Female"/>
    <s v="Yes"/>
    <x v="3"/>
    <x v="0"/>
    <x v="0"/>
    <x v="93"/>
    <n v="8.16"/>
  </r>
  <r>
    <n v="22.75"/>
    <n v="3.25"/>
    <s v="Female"/>
    <s v="No"/>
    <x v="3"/>
    <x v="0"/>
    <x v="0"/>
    <x v="94"/>
    <n v="11.375"/>
  </r>
  <r>
    <n v="40.17"/>
    <n v="4.7300000000000004"/>
    <s v="Male"/>
    <s v="Yes"/>
    <x v="3"/>
    <x v="0"/>
    <x v="2"/>
    <x v="95"/>
    <n v="10.0425"/>
  </r>
  <r>
    <n v="27.28"/>
    <n v="4"/>
    <s v="Male"/>
    <s v="Yes"/>
    <x v="3"/>
    <x v="0"/>
    <x v="0"/>
    <x v="96"/>
    <n v="13.64"/>
  </r>
  <r>
    <n v="12.03"/>
    <n v="1.5"/>
    <s v="Male"/>
    <s v="Yes"/>
    <x v="3"/>
    <x v="0"/>
    <x v="0"/>
    <x v="97"/>
    <n v="6.0149999999999997"/>
  </r>
  <r>
    <n v="21.01"/>
    <n v="3"/>
    <s v="Male"/>
    <s v="Yes"/>
    <x v="3"/>
    <x v="0"/>
    <x v="0"/>
    <x v="98"/>
    <n v="10.505000000000001"/>
  </r>
  <r>
    <n v="12.46"/>
    <n v="1.5"/>
    <s v="Male"/>
    <s v="No"/>
    <x v="3"/>
    <x v="0"/>
    <x v="0"/>
    <x v="99"/>
    <n v="6.23"/>
  </r>
  <r>
    <n v="11.35"/>
    <n v="2.5"/>
    <s v="Female"/>
    <s v="Yes"/>
    <x v="3"/>
    <x v="0"/>
    <x v="0"/>
    <x v="100"/>
    <n v="5.6749999999999998"/>
  </r>
  <r>
    <n v="15.38"/>
    <n v="3"/>
    <s v="Female"/>
    <s v="Yes"/>
    <x v="3"/>
    <x v="0"/>
    <x v="0"/>
    <x v="101"/>
    <n v="7.69"/>
  </r>
  <r>
    <n v="44.3"/>
    <n v="2.5"/>
    <s v="Female"/>
    <s v="Yes"/>
    <x v="1"/>
    <x v="0"/>
    <x v="1"/>
    <x v="102"/>
    <n v="14.766666666666666"/>
  </r>
  <r>
    <n v="22.42"/>
    <n v="3.48"/>
    <s v="Female"/>
    <s v="Yes"/>
    <x v="1"/>
    <x v="0"/>
    <x v="0"/>
    <x v="103"/>
    <n v="11.21"/>
  </r>
  <r>
    <n v="20.92"/>
    <n v="4.08"/>
    <s v="Female"/>
    <s v="No"/>
    <x v="1"/>
    <x v="0"/>
    <x v="0"/>
    <x v="104"/>
    <n v="10.46"/>
  </r>
  <r>
    <n v="15.36"/>
    <n v="1.64"/>
    <s v="Male"/>
    <s v="Yes"/>
    <x v="1"/>
    <x v="0"/>
    <x v="0"/>
    <x v="105"/>
    <n v="7.68"/>
  </r>
  <r>
    <n v="20.49"/>
    <n v="4.0599999999999996"/>
    <s v="Male"/>
    <s v="Yes"/>
    <x v="1"/>
    <x v="0"/>
    <x v="0"/>
    <x v="106"/>
    <n v="10.244999999999999"/>
  </r>
  <r>
    <n v="25.21"/>
    <n v="4.29"/>
    <s v="Male"/>
    <s v="Yes"/>
    <x v="1"/>
    <x v="0"/>
    <x v="0"/>
    <x v="107"/>
    <n v="12.605"/>
  </r>
  <r>
    <n v="18.239999999999998"/>
    <n v="3.76"/>
    <s v="Male"/>
    <s v="No"/>
    <x v="1"/>
    <x v="0"/>
    <x v="0"/>
    <x v="108"/>
    <n v="9.1199999999999992"/>
  </r>
  <r>
    <n v="14.31"/>
    <n v="4"/>
    <s v="Female"/>
    <s v="Yes"/>
    <x v="1"/>
    <x v="0"/>
    <x v="0"/>
    <x v="109"/>
    <n v="7.1550000000000002"/>
  </r>
  <r>
    <n v="14"/>
    <n v="3"/>
    <s v="Male"/>
    <s v="No"/>
    <x v="1"/>
    <x v="0"/>
    <x v="0"/>
    <x v="110"/>
    <n v="7"/>
  </r>
  <r>
    <n v="7.25"/>
    <n v="1"/>
    <s v="Female"/>
    <s v="No"/>
    <x v="1"/>
    <x v="0"/>
    <x v="3"/>
    <x v="111"/>
    <n v="7.25"/>
  </r>
  <r>
    <n v="38.07"/>
    <n v="4"/>
    <s v="Male"/>
    <s v="No"/>
    <x v="0"/>
    <x v="0"/>
    <x v="1"/>
    <x v="112"/>
    <n v="12.69"/>
  </r>
  <r>
    <n v="23.95"/>
    <n v="2.5499999999999998"/>
    <s v="Male"/>
    <s v="No"/>
    <x v="0"/>
    <x v="0"/>
    <x v="0"/>
    <x v="113"/>
    <n v="11.975"/>
  </r>
  <r>
    <n v="25.71"/>
    <n v="4"/>
    <s v="Female"/>
    <s v="No"/>
    <x v="0"/>
    <x v="0"/>
    <x v="1"/>
    <x v="114"/>
    <n v="8.57"/>
  </r>
  <r>
    <n v="17.309999999999999"/>
    <n v="3.5"/>
    <s v="Female"/>
    <s v="No"/>
    <x v="0"/>
    <x v="0"/>
    <x v="0"/>
    <x v="115"/>
    <n v="8.6549999999999994"/>
  </r>
  <r>
    <n v="29.93"/>
    <n v="5.07"/>
    <s v="Male"/>
    <s v="No"/>
    <x v="0"/>
    <x v="0"/>
    <x v="2"/>
    <x v="116"/>
    <n v="7.4824999999999999"/>
  </r>
  <r>
    <n v="10.65"/>
    <n v="1.5"/>
    <s v="Female"/>
    <s v="No"/>
    <x v="2"/>
    <x v="1"/>
    <x v="0"/>
    <x v="117"/>
    <n v="5.3250000000000002"/>
  </r>
  <r>
    <n v="12.43"/>
    <n v="1.8"/>
    <s v="Female"/>
    <s v="No"/>
    <x v="2"/>
    <x v="1"/>
    <x v="0"/>
    <x v="118"/>
    <n v="6.2149999999999999"/>
  </r>
  <r>
    <n v="24.08"/>
    <n v="2.92"/>
    <s v="Female"/>
    <s v="No"/>
    <x v="2"/>
    <x v="1"/>
    <x v="2"/>
    <x v="119"/>
    <n v="6.02"/>
  </r>
  <r>
    <n v="11.69"/>
    <n v="2.31"/>
    <s v="Male"/>
    <s v="No"/>
    <x v="2"/>
    <x v="1"/>
    <x v="0"/>
    <x v="120"/>
    <n v="5.8449999999999998"/>
  </r>
  <r>
    <n v="13.42"/>
    <n v="1.68"/>
    <s v="Female"/>
    <s v="No"/>
    <x v="2"/>
    <x v="1"/>
    <x v="0"/>
    <x v="121"/>
    <n v="6.71"/>
  </r>
  <r>
    <n v="14.26"/>
    <n v="2.5"/>
    <s v="Male"/>
    <s v="No"/>
    <x v="2"/>
    <x v="1"/>
    <x v="0"/>
    <x v="122"/>
    <n v="7.13"/>
  </r>
  <r>
    <n v="15.95"/>
    <n v="2"/>
    <s v="Male"/>
    <s v="No"/>
    <x v="2"/>
    <x v="1"/>
    <x v="0"/>
    <x v="123"/>
    <n v="7.9749999999999996"/>
  </r>
  <r>
    <n v="12.48"/>
    <n v="2.52"/>
    <s v="Female"/>
    <s v="No"/>
    <x v="2"/>
    <x v="1"/>
    <x v="0"/>
    <x v="124"/>
    <n v="6.24"/>
  </r>
  <r>
    <n v="29.8"/>
    <n v="4.2"/>
    <s v="Female"/>
    <s v="No"/>
    <x v="2"/>
    <x v="1"/>
    <x v="4"/>
    <x v="125"/>
    <n v="4.9666666666666668"/>
  </r>
  <r>
    <n v="8.52"/>
    <n v="1.48"/>
    <s v="Male"/>
    <s v="No"/>
    <x v="2"/>
    <x v="1"/>
    <x v="0"/>
    <x v="126"/>
    <n v="4.26"/>
  </r>
  <r>
    <n v="14.52"/>
    <n v="2"/>
    <s v="Female"/>
    <s v="No"/>
    <x v="2"/>
    <x v="1"/>
    <x v="0"/>
    <x v="127"/>
    <n v="7.26"/>
  </r>
  <r>
    <n v="11.38"/>
    <n v="2"/>
    <s v="Female"/>
    <s v="No"/>
    <x v="2"/>
    <x v="1"/>
    <x v="0"/>
    <x v="128"/>
    <n v="5.69"/>
  </r>
  <r>
    <n v="22.82"/>
    <n v="2.1800000000000002"/>
    <s v="Male"/>
    <s v="No"/>
    <x v="2"/>
    <x v="1"/>
    <x v="1"/>
    <x v="129"/>
    <n v="7.6066666666666665"/>
  </r>
  <r>
    <n v="19.079999999999998"/>
    <n v="1.5"/>
    <s v="Male"/>
    <s v="No"/>
    <x v="2"/>
    <x v="1"/>
    <x v="0"/>
    <x v="130"/>
    <n v="9.5399999999999991"/>
  </r>
  <r>
    <n v="20.27"/>
    <n v="2.83"/>
    <s v="Female"/>
    <s v="No"/>
    <x v="2"/>
    <x v="1"/>
    <x v="0"/>
    <x v="131"/>
    <n v="10.135"/>
  </r>
  <r>
    <n v="11.17"/>
    <n v="1.5"/>
    <s v="Female"/>
    <s v="No"/>
    <x v="2"/>
    <x v="1"/>
    <x v="0"/>
    <x v="132"/>
    <n v="5.585"/>
  </r>
  <r>
    <n v="12.26"/>
    <n v="2"/>
    <s v="Female"/>
    <s v="No"/>
    <x v="2"/>
    <x v="1"/>
    <x v="0"/>
    <x v="133"/>
    <n v="6.13"/>
  </r>
  <r>
    <n v="18.260000000000002"/>
    <n v="3.25"/>
    <s v="Female"/>
    <s v="No"/>
    <x v="2"/>
    <x v="1"/>
    <x v="0"/>
    <x v="134"/>
    <n v="9.1300000000000008"/>
  </r>
  <r>
    <n v="8.51"/>
    <n v="1.25"/>
    <s v="Female"/>
    <s v="No"/>
    <x v="2"/>
    <x v="1"/>
    <x v="0"/>
    <x v="135"/>
    <n v="4.2549999999999999"/>
  </r>
  <r>
    <n v="10.33"/>
    <n v="2"/>
    <s v="Female"/>
    <s v="No"/>
    <x v="2"/>
    <x v="1"/>
    <x v="0"/>
    <x v="136"/>
    <n v="5.165"/>
  </r>
  <r>
    <n v="14.15"/>
    <n v="2"/>
    <s v="Female"/>
    <s v="No"/>
    <x v="2"/>
    <x v="1"/>
    <x v="0"/>
    <x v="137"/>
    <n v="7.0750000000000002"/>
  </r>
  <r>
    <n v="16"/>
    <n v="2"/>
    <s v="Male"/>
    <s v="Yes"/>
    <x v="2"/>
    <x v="1"/>
    <x v="0"/>
    <x v="138"/>
    <n v="8"/>
  </r>
  <r>
    <n v="13.16"/>
    <n v="2.75"/>
    <s v="Female"/>
    <s v="No"/>
    <x v="2"/>
    <x v="1"/>
    <x v="0"/>
    <x v="139"/>
    <n v="6.58"/>
  </r>
  <r>
    <n v="17.47"/>
    <n v="3.5"/>
    <s v="Female"/>
    <s v="No"/>
    <x v="2"/>
    <x v="1"/>
    <x v="0"/>
    <x v="140"/>
    <n v="8.7349999999999994"/>
  </r>
  <r>
    <n v="34.299999999999997"/>
    <n v="6.7"/>
    <s v="Male"/>
    <s v="No"/>
    <x v="2"/>
    <x v="1"/>
    <x v="4"/>
    <x v="141"/>
    <n v="5.7166666666666659"/>
  </r>
  <r>
    <n v="41.19"/>
    <n v="5"/>
    <s v="Male"/>
    <s v="No"/>
    <x v="2"/>
    <x v="1"/>
    <x v="5"/>
    <x v="142"/>
    <n v="8.2379999999999995"/>
  </r>
  <r>
    <n v="27.05"/>
    <n v="5"/>
    <s v="Female"/>
    <s v="No"/>
    <x v="2"/>
    <x v="1"/>
    <x v="4"/>
    <x v="143"/>
    <n v="4.5083333333333337"/>
  </r>
  <r>
    <n v="16.43"/>
    <n v="2.2999999999999998"/>
    <s v="Female"/>
    <s v="No"/>
    <x v="2"/>
    <x v="1"/>
    <x v="0"/>
    <x v="144"/>
    <n v="8.2149999999999999"/>
  </r>
  <r>
    <n v="8.35"/>
    <n v="1.5"/>
    <s v="Female"/>
    <s v="No"/>
    <x v="2"/>
    <x v="1"/>
    <x v="0"/>
    <x v="145"/>
    <n v="4.1749999999999998"/>
  </r>
  <r>
    <n v="18.64"/>
    <n v="1.36"/>
    <s v="Female"/>
    <s v="No"/>
    <x v="2"/>
    <x v="1"/>
    <x v="1"/>
    <x v="146"/>
    <n v="6.2133333333333338"/>
  </r>
  <r>
    <n v="11.87"/>
    <n v="1.63"/>
    <s v="Female"/>
    <s v="No"/>
    <x v="2"/>
    <x v="1"/>
    <x v="0"/>
    <x v="147"/>
    <n v="5.9349999999999996"/>
  </r>
  <r>
    <n v="9.7799999999999994"/>
    <n v="1.73"/>
    <s v="Male"/>
    <s v="No"/>
    <x v="2"/>
    <x v="1"/>
    <x v="0"/>
    <x v="148"/>
    <n v="4.8899999999999997"/>
  </r>
  <r>
    <n v="7.51"/>
    <n v="2"/>
    <s v="Male"/>
    <s v="No"/>
    <x v="2"/>
    <x v="1"/>
    <x v="0"/>
    <x v="149"/>
    <n v="3.7549999999999999"/>
  </r>
  <r>
    <n v="14.07"/>
    <n v="2.5"/>
    <s v="Male"/>
    <s v="No"/>
    <x v="0"/>
    <x v="0"/>
    <x v="0"/>
    <x v="150"/>
    <n v="7.0350000000000001"/>
  </r>
  <r>
    <n v="13.13"/>
    <n v="2"/>
    <s v="Male"/>
    <s v="No"/>
    <x v="0"/>
    <x v="0"/>
    <x v="0"/>
    <x v="151"/>
    <n v="6.5650000000000004"/>
  </r>
  <r>
    <n v="17.260000000000002"/>
    <n v="2.74"/>
    <s v="Male"/>
    <s v="No"/>
    <x v="0"/>
    <x v="0"/>
    <x v="1"/>
    <x v="152"/>
    <n v="5.7533333333333339"/>
  </r>
  <r>
    <n v="24.55"/>
    <n v="2"/>
    <s v="Male"/>
    <s v="No"/>
    <x v="0"/>
    <x v="0"/>
    <x v="2"/>
    <x v="153"/>
    <n v="6.1375000000000002"/>
  </r>
  <r>
    <n v="19.77"/>
    <n v="2"/>
    <s v="Male"/>
    <s v="No"/>
    <x v="0"/>
    <x v="0"/>
    <x v="2"/>
    <x v="154"/>
    <n v="4.9424999999999999"/>
  </r>
  <r>
    <n v="29.85"/>
    <n v="5.14"/>
    <s v="Female"/>
    <s v="No"/>
    <x v="0"/>
    <x v="0"/>
    <x v="5"/>
    <x v="155"/>
    <n v="5.9700000000000006"/>
  </r>
  <r>
    <n v="48.17"/>
    <n v="5"/>
    <s v="Male"/>
    <s v="No"/>
    <x v="0"/>
    <x v="0"/>
    <x v="4"/>
    <x v="156"/>
    <n v="8.0283333333333342"/>
  </r>
  <r>
    <n v="25"/>
    <n v="3.75"/>
    <s v="Female"/>
    <s v="No"/>
    <x v="0"/>
    <x v="0"/>
    <x v="2"/>
    <x v="157"/>
    <n v="6.25"/>
  </r>
  <r>
    <n v="13.39"/>
    <n v="2.61"/>
    <s v="Female"/>
    <s v="No"/>
    <x v="0"/>
    <x v="0"/>
    <x v="0"/>
    <x v="158"/>
    <n v="6.6950000000000003"/>
  </r>
  <r>
    <n v="16.489999999999998"/>
    <n v="2"/>
    <s v="Male"/>
    <s v="No"/>
    <x v="0"/>
    <x v="0"/>
    <x v="2"/>
    <x v="159"/>
    <n v="4.1224999999999996"/>
  </r>
  <r>
    <n v="21.5"/>
    <n v="3.5"/>
    <s v="Male"/>
    <s v="No"/>
    <x v="0"/>
    <x v="0"/>
    <x v="2"/>
    <x v="160"/>
    <n v="5.375"/>
  </r>
  <r>
    <n v="12.66"/>
    <n v="2.5"/>
    <s v="Male"/>
    <s v="No"/>
    <x v="0"/>
    <x v="0"/>
    <x v="0"/>
    <x v="161"/>
    <n v="6.33"/>
  </r>
  <r>
    <n v="16.21"/>
    <n v="2"/>
    <s v="Female"/>
    <s v="No"/>
    <x v="0"/>
    <x v="0"/>
    <x v="1"/>
    <x v="162"/>
    <n v="5.4033333333333333"/>
  </r>
  <r>
    <n v="13.81"/>
    <n v="2"/>
    <s v="Male"/>
    <s v="No"/>
    <x v="0"/>
    <x v="0"/>
    <x v="0"/>
    <x v="61"/>
    <n v="6.9050000000000002"/>
  </r>
  <r>
    <n v="17.510000000000002"/>
    <n v="3"/>
    <s v="Female"/>
    <s v="Yes"/>
    <x v="0"/>
    <x v="0"/>
    <x v="0"/>
    <x v="163"/>
    <n v="8.7550000000000008"/>
  </r>
  <r>
    <n v="24.52"/>
    <n v="3.48"/>
    <s v="Male"/>
    <s v="No"/>
    <x v="0"/>
    <x v="0"/>
    <x v="1"/>
    <x v="164"/>
    <n v="8.1733333333333338"/>
  </r>
  <r>
    <n v="20.76"/>
    <n v="2.2400000000000002"/>
    <s v="Male"/>
    <s v="No"/>
    <x v="0"/>
    <x v="0"/>
    <x v="0"/>
    <x v="165"/>
    <n v="10.38"/>
  </r>
  <r>
    <n v="31.71"/>
    <n v="4.5"/>
    <s v="Male"/>
    <s v="No"/>
    <x v="0"/>
    <x v="0"/>
    <x v="2"/>
    <x v="166"/>
    <n v="7.9275000000000002"/>
  </r>
  <r>
    <n v="10.59"/>
    <n v="1.61"/>
    <s v="Female"/>
    <s v="Yes"/>
    <x v="1"/>
    <x v="0"/>
    <x v="0"/>
    <x v="167"/>
    <n v="5.2949999999999999"/>
  </r>
  <r>
    <n v="10.63"/>
    <n v="2"/>
    <s v="Female"/>
    <s v="Yes"/>
    <x v="1"/>
    <x v="0"/>
    <x v="0"/>
    <x v="168"/>
    <n v="5.3150000000000004"/>
  </r>
  <r>
    <n v="50.81"/>
    <n v="10"/>
    <s v="Male"/>
    <s v="Yes"/>
    <x v="1"/>
    <x v="0"/>
    <x v="1"/>
    <x v="169"/>
    <n v="16.936666666666667"/>
  </r>
  <r>
    <n v="15.81"/>
    <n v="3.16"/>
    <s v="Male"/>
    <s v="Yes"/>
    <x v="1"/>
    <x v="0"/>
    <x v="0"/>
    <x v="170"/>
    <n v="7.9050000000000002"/>
  </r>
  <r>
    <n v="7.25"/>
    <n v="5.15"/>
    <s v="Male"/>
    <s v="Yes"/>
    <x v="0"/>
    <x v="0"/>
    <x v="0"/>
    <x v="171"/>
    <n v="3.625"/>
  </r>
  <r>
    <n v="31.85"/>
    <n v="3.18"/>
    <s v="Male"/>
    <s v="Yes"/>
    <x v="0"/>
    <x v="0"/>
    <x v="0"/>
    <x v="172"/>
    <n v="15.925000000000001"/>
  </r>
  <r>
    <n v="16.82"/>
    <n v="4"/>
    <s v="Male"/>
    <s v="Yes"/>
    <x v="0"/>
    <x v="0"/>
    <x v="0"/>
    <x v="173"/>
    <n v="8.41"/>
  </r>
  <r>
    <n v="32.9"/>
    <n v="3.11"/>
    <s v="Male"/>
    <s v="Yes"/>
    <x v="0"/>
    <x v="0"/>
    <x v="0"/>
    <x v="174"/>
    <n v="16.45"/>
  </r>
  <r>
    <n v="17.89"/>
    <n v="2"/>
    <s v="Male"/>
    <s v="Yes"/>
    <x v="0"/>
    <x v="0"/>
    <x v="0"/>
    <x v="175"/>
    <n v="8.9450000000000003"/>
  </r>
  <r>
    <n v="14.48"/>
    <n v="2"/>
    <s v="Male"/>
    <s v="Yes"/>
    <x v="0"/>
    <x v="0"/>
    <x v="0"/>
    <x v="176"/>
    <n v="7.24"/>
  </r>
  <r>
    <n v="9.6"/>
    <n v="4"/>
    <s v="Female"/>
    <s v="Yes"/>
    <x v="0"/>
    <x v="0"/>
    <x v="0"/>
    <x v="177"/>
    <n v="4.8"/>
  </r>
  <r>
    <n v="34.630000000000003"/>
    <n v="3.55"/>
    <s v="Male"/>
    <s v="Yes"/>
    <x v="0"/>
    <x v="0"/>
    <x v="0"/>
    <x v="178"/>
    <n v="17.315000000000001"/>
  </r>
  <r>
    <n v="34.65"/>
    <n v="3.68"/>
    <s v="Male"/>
    <s v="Yes"/>
    <x v="0"/>
    <x v="0"/>
    <x v="2"/>
    <x v="179"/>
    <n v="8.6624999999999996"/>
  </r>
  <r>
    <n v="23.33"/>
    <n v="5.65"/>
    <s v="Male"/>
    <s v="Yes"/>
    <x v="0"/>
    <x v="0"/>
    <x v="0"/>
    <x v="180"/>
    <n v="11.664999999999999"/>
  </r>
  <r>
    <n v="45.35"/>
    <n v="3.5"/>
    <s v="Male"/>
    <s v="Yes"/>
    <x v="0"/>
    <x v="0"/>
    <x v="1"/>
    <x v="181"/>
    <n v="15.116666666666667"/>
  </r>
  <r>
    <n v="23.17"/>
    <n v="6.5"/>
    <s v="Male"/>
    <s v="Yes"/>
    <x v="0"/>
    <x v="0"/>
    <x v="2"/>
    <x v="182"/>
    <n v="5.7925000000000004"/>
  </r>
  <r>
    <n v="40.549999999999997"/>
    <n v="3"/>
    <s v="Male"/>
    <s v="Yes"/>
    <x v="0"/>
    <x v="0"/>
    <x v="0"/>
    <x v="183"/>
    <n v="20.274999999999999"/>
  </r>
  <r>
    <n v="20.69"/>
    <n v="5"/>
    <s v="Male"/>
    <s v="No"/>
    <x v="0"/>
    <x v="0"/>
    <x v="5"/>
    <x v="184"/>
    <n v="4.1379999999999999"/>
  </r>
  <r>
    <n v="20.9"/>
    <n v="3.5"/>
    <s v="Female"/>
    <s v="Yes"/>
    <x v="0"/>
    <x v="0"/>
    <x v="1"/>
    <x v="185"/>
    <n v="6.9666666666666659"/>
  </r>
  <r>
    <n v="30.46"/>
    <n v="2"/>
    <s v="Male"/>
    <s v="Yes"/>
    <x v="0"/>
    <x v="0"/>
    <x v="5"/>
    <x v="186"/>
    <n v="6.0920000000000005"/>
  </r>
  <r>
    <n v="18.149999999999999"/>
    <n v="3.5"/>
    <s v="Female"/>
    <s v="Yes"/>
    <x v="0"/>
    <x v="0"/>
    <x v="1"/>
    <x v="187"/>
    <n v="6.05"/>
  </r>
  <r>
    <n v="23.1"/>
    <n v="4"/>
    <s v="Male"/>
    <s v="Yes"/>
    <x v="0"/>
    <x v="0"/>
    <x v="1"/>
    <x v="188"/>
    <n v="7.7"/>
  </r>
  <r>
    <n v="15.69"/>
    <n v="1.5"/>
    <s v="Male"/>
    <s v="Yes"/>
    <x v="0"/>
    <x v="0"/>
    <x v="0"/>
    <x v="189"/>
    <n v="7.8449999999999998"/>
  </r>
  <r>
    <n v="19.809999999999999"/>
    <n v="4.1900000000000004"/>
    <s v="Female"/>
    <s v="Yes"/>
    <x v="2"/>
    <x v="1"/>
    <x v="0"/>
    <x v="190"/>
    <n v="9.9049999999999994"/>
  </r>
  <r>
    <n v="28.44"/>
    <n v="2.56"/>
    <s v="Male"/>
    <s v="Yes"/>
    <x v="2"/>
    <x v="1"/>
    <x v="0"/>
    <x v="191"/>
    <n v="14.22"/>
  </r>
  <r>
    <n v="15.48"/>
    <n v="2.02"/>
    <s v="Male"/>
    <s v="Yes"/>
    <x v="2"/>
    <x v="1"/>
    <x v="0"/>
    <x v="192"/>
    <n v="7.74"/>
  </r>
  <r>
    <n v="16.579999999999998"/>
    <n v="4"/>
    <s v="Male"/>
    <s v="Yes"/>
    <x v="2"/>
    <x v="1"/>
    <x v="0"/>
    <x v="193"/>
    <n v="8.2899999999999991"/>
  </r>
  <r>
    <n v="7.56"/>
    <n v="1.44"/>
    <s v="Male"/>
    <s v="No"/>
    <x v="2"/>
    <x v="1"/>
    <x v="0"/>
    <x v="194"/>
    <n v="3.78"/>
  </r>
  <r>
    <n v="10.34"/>
    <n v="2"/>
    <s v="Male"/>
    <s v="Yes"/>
    <x v="2"/>
    <x v="1"/>
    <x v="0"/>
    <x v="195"/>
    <n v="5.17"/>
  </r>
  <r>
    <n v="43.11"/>
    <n v="5"/>
    <s v="Female"/>
    <s v="Yes"/>
    <x v="2"/>
    <x v="1"/>
    <x v="2"/>
    <x v="196"/>
    <n v="10.7775"/>
  </r>
  <r>
    <n v="13"/>
    <n v="2"/>
    <s v="Female"/>
    <s v="Yes"/>
    <x v="2"/>
    <x v="1"/>
    <x v="0"/>
    <x v="197"/>
    <n v="6.5"/>
  </r>
  <r>
    <n v="13.51"/>
    <n v="2"/>
    <s v="Male"/>
    <s v="Yes"/>
    <x v="2"/>
    <x v="1"/>
    <x v="0"/>
    <x v="198"/>
    <n v="6.7549999999999999"/>
  </r>
  <r>
    <n v="18.71"/>
    <n v="4"/>
    <s v="Male"/>
    <s v="Yes"/>
    <x v="2"/>
    <x v="1"/>
    <x v="1"/>
    <x v="199"/>
    <n v="6.2366666666666672"/>
  </r>
  <r>
    <n v="12.74"/>
    <n v="2.0099999999999998"/>
    <s v="Female"/>
    <s v="Yes"/>
    <x v="2"/>
    <x v="1"/>
    <x v="0"/>
    <x v="200"/>
    <n v="6.37"/>
  </r>
  <r>
    <n v="13"/>
    <n v="2"/>
    <s v="Female"/>
    <s v="Yes"/>
    <x v="2"/>
    <x v="1"/>
    <x v="0"/>
    <x v="197"/>
    <n v="6.5"/>
  </r>
  <r>
    <n v="16.399999999999999"/>
    <n v="2.5"/>
    <s v="Female"/>
    <s v="Yes"/>
    <x v="2"/>
    <x v="1"/>
    <x v="0"/>
    <x v="201"/>
    <n v="8.1999999999999993"/>
  </r>
  <r>
    <n v="20.53"/>
    <n v="4"/>
    <s v="Male"/>
    <s v="Yes"/>
    <x v="2"/>
    <x v="1"/>
    <x v="2"/>
    <x v="202"/>
    <n v="5.1325000000000003"/>
  </r>
  <r>
    <n v="16.47"/>
    <n v="3.23"/>
    <s v="Female"/>
    <s v="Yes"/>
    <x v="2"/>
    <x v="1"/>
    <x v="1"/>
    <x v="203"/>
    <n v="5.4899999999999993"/>
  </r>
  <r>
    <n v="26.59"/>
    <n v="3.41"/>
    <s v="Male"/>
    <s v="Yes"/>
    <x v="1"/>
    <x v="0"/>
    <x v="1"/>
    <x v="204"/>
    <n v="8.8633333333333333"/>
  </r>
  <r>
    <n v="38.729999999999997"/>
    <n v="3"/>
    <s v="Male"/>
    <s v="Yes"/>
    <x v="1"/>
    <x v="0"/>
    <x v="2"/>
    <x v="205"/>
    <n v="9.6824999999999992"/>
  </r>
  <r>
    <n v="24.27"/>
    <n v="2.0299999999999998"/>
    <s v="Male"/>
    <s v="Yes"/>
    <x v="1"/>
    <x v="0"/>
    <x v="0"/>
    <x v="206"/>
    <n v="12.135"/>
  </r>
  <r>
    <n v="12.76"/>
    <n v="2.23"/>
    <s v="Female"/>
    <s v="Yes"/>
    <x v="1"/>
    <x v="0"/>
    <x v="0"/>
    <x v="207"/>
    <n v="6.38"/>
  </r>
  <r>
    <n v="30.06"/>
    <n v="2"/>
    <s v="Male"/>
    <s v="Yes"/>
    <x v="1"/>
    <x v="0"/>
    <x v="1"/>
    <x v="208"/>
    <n v="10.02"/>
  </r>
  <r>
    <n v="25.89"/>
    <n v="5.16"/>
    <s v="Male"/>
    <s v="Yes"/>
    <x v="1"/>
    <x v="0"/>
    <x v="2"/>
    <x v="209"/>
    <n v="6.4725000000000001"/>
  </r>
  <r>
    <n v="48.33"/>
    <n v="9"/>
    <s v="Male"/>
    <s v="No"/>
    <x v="1"/>
    <x v="0"/>
    <x v="2"/>
    <x v="210"/>
    <n v="12.0825"/>
  </r>
  <r>
    <n v="13.27"/>
    <n v="2.5"/>
    <s v="Female"/>
    <s v="Yes"/>
    <x v="1"/>
    <x v="0"/>
    <x v="0"/>
    <x v="211"/>
    <n v="6.6349999999999998"/>
  </r>
  <r>
    <n v="28.17"/>
    <n v="6.5"/>
    <s v="Female"/>
    <s v="Yes"/>
    <x v="1"/>
    <x v="0"/>
    <x v="1"/>
    <x v="212"/>
    <n v="9.39"/>
  </r>
  <r>
    <n v="12.9"/>
    <n v="1.1000000000000001"/>
    <s v="Female"/>
    <s v="Yes"/>
    <x v="1"/>
    <x v="0"/>
    <x v="0"/>
    <x v="213"/>
    <n v="6.45"/>
  </r>
  <r>
    <n v="28.15"/>
    <n v="3"/>
    <s v="Male"/>
    <s v="Yes"/>
    <x v="1"/>
    <x v="0"/>
    <x v="5"/>
    <x v="214"/>
    <n v="5.63"/>
  </r>
  <r>
    <n v="11.59"/>
    <n v="1.5"/>
    <s v="Male"/>
    <s v="Yes"/>
    <x v="1"/>
    <x v="0"/>
    <x v="0"/>
    <x v="215"/>
    <n v="5.7949999999999999"/>
  </r>
  <r>
    <n v="7.74"/>
    <n v="1.44"/>
    <s v="Male"/>
    <s v="Yes"/>
    <x v="1"/>
    <x v="0"/>
    <x v="0"/>
    <x v="216"/>
    <n v="3.87"/>
  </r>
  <r>
    <n v="30.14"/>
    <n v="3.09"/>
    <s v="Female"/>
    <s v="Yes"/>
    <x v="1"/>
    <x v="0"/>
    <x v="2"/>
    <x v="217"/>
    <n v="7.5350000000000001"/>
  </r>
  <r>
    <n v="12.16"/>
    <n v="2.2000000000000002"/>
    <s v="Male"/>
    <s v="Yes"/>
    <x v="3"/>
    <x v="1"/>
    <x v="0"/>
    <x v="218"/>
    <n v="6.08"/>
  </r>
  <r>
    <n v="13.42"/>
    <n v="3.48"/>
    <s v="Female"/>
    <s v="Yes"/>
    <x v="3"/>
    <x v="1"/>
    <x v="0"/>
    <x v="219"/>
    <n v="6.71"/>
  </r>
  <r>
    <n v="8.58"/>
    <n v="1.92"/>
    <s v="Male"/>
    <s v="Yes"/>
    <x v="3"/>
    <x v="1"/>
    <x v="3"/>
    <x v="220"/>
    <n v="8.58"/>
  </r>
  <r>
    <n v="15.98"/>
    <n v="3"/>
    <s v="Female"/>
    <s v="No"/>
    <x v="3"/>
    <x v="1"/>
    <x v="1"/>
    <x v="221"/>
    <n v="5.3266666666666671"/>
  </r>
  <r>
    <n v="13.42"/>
    <n v="1.58"/>
    <s v="Male"/>
    <s v="Yes"/>
    <x v="3"/>
    <x v="1"/>
    <x v="0"/>
    <x v="222"/>
    <n v="6.71"/>
  </r>
  <r>
    <n v="16.27"/>
    <n v="2.5"/>
    <s v="Female"/>
    <s v="Yes"/>
    <x v="3"/>
    <x v="1"/>
    <x v="0"/>
    <x v="223"/>
    <n v="8.1349999999999998"/>
  </r>
  <r>
    <n v="10.09"/>
    <n v="2"/>
    <s v="Female"/>
    <s v="Yes"/>
    <x v="3"/>
    <x v="1"/>
    <x v="0"/>
    <x v="224"/>
    <n v="5.0449999999999999"/>
  </r>
  <r>
    <n v="20.45"/>
    <n v="3"/>
    <s v="Male"/>
    <s v="No"/>
    <x v="1"/>
    <x v="0"/>
    <x v="2"/>
    <x v="225"/>
    <n v="5.1124999999999998"/>
  </r>
  <r>
    <n v="13.28"/>
    <n v="2.72"/>
    <s v="Male"/>
    <s v="No"/>
    <x v="1"/>
    <x v="0"/>
    <x v="0"/>
    <x v="226"/>
    <n v="6.64"/>
  </r>
  <r>
    <n v="22.12"/>
    <n v="2.88"/>
    <s v="Female"/>
    <s v="Yes"/>
    <x v="1"/>
    <x v="0"/>
    <x v="0"/>
    <x v="227"/>
    <n v="11.06"/>
  </r>
  <r>
    <n v="24.01"/>
    <n v="2"/>
    <s v="Male"/>
    <s v="Yes"/>
    <x v="1"/>
    <x v="0"/>
    <x v="2"/>
    <x v="228"/>
    <n v="6.0025000000000004"/>
  </r>
  <r>
    <n v="15.69"/>
    <n v="3"/>
    <s v="Male"/>
    <s v="Yes"/>
    <x v="1"/>
    <x v="0"/>
    <x v="1"/>
    <x v="229"/>
    <n v="5.2299999999999995"/>
  </r>
  <r>
    <n v="11.61"/>
    <n v="3.39"/>
    <s v="Male"/>
    <s v="No"/>
    <x v="1"/>
    <x v="0"/>
    <x v="0"/>
    <x v="230"/>
    <n v="5.8049999999999997"/>
  </r>
  <r>
    <n v="10.77"/>
    <n v="1.47"/>
    <s v="Male"/>
    <s v="No"/>
    <x v="1"/>
    <x v="0"/>
    <x v="0"/>
    <x v="231"/>
    <n v="5.3849999999999998"/>
  </r>
  <r>
    <n v="15.53"/>
    <n v="3"/>
    <s v="Male"/>
    <s v="Yes"/>
    <x v="1"/>
    <x v="0"/>
    <x v="0"/>
    <x v="232"/>
    <n v="7.7649999999999997"/>
  </r>
  <r>
    <n v="10.07"/>
    <n v="1.25"/>
    <s v="Male"/>
    <s v="No"/>
    <x v="1"/>
    <x v="0"/>
    <x v="0"/>
    <x v="233"/>
    <n v="5.0350000000000001"/>
  </r>
  <r>
    <n v="12.6"/>
    <n v="1"/>
    <s v="Male"/>
    <s v="Yes"/>
    <x v="1"/>
    <x v="0"/>
    <x v="0"/>
    <x v="234"/>
    <n v="6.3"/>
  </r>
  <r>
    <n v="32.83"/>
    <n v="1.17"/>
    <s v="Male"/>
    <s v="Yes"/>
    <x v="1"/>
    <x v="0"/>
    <x v="0"/>
    <x v="235"/>
    <n v="16.414999999999999"/>
  </r>
  <r>
    <n v="35.83"/>
    <n v="4.67"/>
    <s v="Female"/>
    <s v="No"/>
    <x v="1"/>
    <x v="0"/>
    <x v="1"/>
    <x v="236"/>
    <n v="11.943333333333333"/>
  </r>
  <r>
    <n v="29.03"/>
    <n v="5.92"/>
    <s v="Male"/>
    <s v="No"/>
    <x v="1"/>
    <x v="0"/>
    <x v="1"/>
    <x v="237"/>
    <n v="9.6766666666666676"/>
  </r>
  <r>
    <n v="27.18"/>
    <n v="2"/>
    <s v="Female"/>
    <s v="Yes"/>
    <x v="1"/>
    <x v="0"/>
    <x v="0"/>
    <x v="238"/>
    <n v="13.59"/>
  </r>
  <r>
    <n v="22.67"/>
    <n v="2"/>
    <s v="Male"/>
    <s v="Yes"/>
    <x v="1"/>
    <x v="0"/>
    <x v="0"/>
    <x v="239"/>
    <n v="11.335000000000001"/>
  </r>
  <r>
    <n v="17.82"/>
    <n v="1.75"/>
    <s v="Male"/>
    <s v="No"/>
    <x v="1"/>
    <x v="0"/>
    <x v="0"/>
    <x v="240"/>
    <n v="8.91"/>
  </r>
  <r>
    <n v="18.78"/>
    <n v="3"/>
    <s v="Female"/>
    <s v="No"/>
    <x v="2"/>
    <x v="0"/>
    <x v="0"/>
    <x v="241"/>
    <n v="9.39"/>
  </r>
  <r>
    <m/>
    <m/>
    <m/>
    <m/>
    <x v="4"/>
    <x v="2"/>
    <x v="6"/>
    <x v="242"/>
    <m/>
  </r>
  <r>
    <m/>
    <m/>
    <m/>
    <m/>
    <x v="4"/>
    <x v="2"/>
    <x v="6"/>
    <x v="242"/>
    <m/>
  </r>
  <r>
    <m/>
    <m/>
    <m/>
    <m/>
    <x v="4"/>
    <x v="2"/>
    <x v="6"/>
    <x v="2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A92DB-2801-43DB-A520-7A7D52AEFED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>
  <location ref="A3:B9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bill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23118-DFB1-4DF0-9818-F0E1F10A51B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bill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0CEF-FC17-4830-ABFC-0ED15CCC79B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ip Percentage" fld="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42005-2369-41A7-BCCB-755774F7DE2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ize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FE40-A180-4877-889C-5F64FB447B03}">
  <dimension ref="A3:B9"/>
  <sheetViews>
    <sheetView workbookViewId="0">
      <selection activeCell="C4" sqref="A1:XFD1048576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1" t="s">
        <v>22</v>
      </c>
      <c r="B3" t="s">
        <v>21</v>
      </c>
    </row>
    <row r="4" spans="1:2" x14ac:dyDescent="0.25">
      <c r="A4" s="2" t="s">
        <v>9</v>
      </c>
      <c r="B4" s="3">
        <v>1627.1600000000003</v>
      </c>
    </row>
    <row r="5" spans="1:2" x14ac:dyDescent="0.25">
      <c r="A5" s="2" t="s">
        <v>16</v>
      </c>
      <c r="B5" s="3">
        <v>325.87999999999994</v>
      </c>
    </row>
    <row r="6" spans="1:2" x14ac:dyDescent="0.25">
      <c r="A6" s="2" t="s">
        <v>12</v>
      </c>
      <c r="B6" s="3">
        <v>1778.3999999999996</v>
      </c>
    </row>
    <row r="7" spans="1:2" x14ac:dyDescent="0.25">
      <c r="A7" s="2" t="s">
        <v>14</v>
      </c>
      <c r="B7" s="3">
        <v>1096.3299999999997</v>
      </c>
    </row>
    <row r="8" spans="1:2" x14ac:dyDescent="0.25">
      <c r="A8" s="2" t="s">
        <v>19</v>
      </c>
      <c r="B8" s="3"/>
    </row>
    <row r="9" spans="1:2" x14ac:dyDescent="0.25">
      <c r="A9" s="2" t="s">
        <v>20</v>
      </c>
      <c r="B9" s="3">
        <v>4827.7699999999995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83E6-0DB4-4D16-8E94-856ED3AFACDE}">
  <dimension ref="A3:B7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1" t="s">
        <v>23</v>
      </c>
      <c r="B3" t="s">
        <v>21</v>
      </c>
    </row>
    <row r="4" spans="1:2" x14ac:dyDescent="0.25">
      <c r="A4" s="2" t="s">
        <v>10</v>
      </c>
      <c r="B4" s="3">
        <v>3660.3000000000015</v>
      </c>
    </row>
    <row r="5" spans="1:2" x14ac:dyDescent="0.25">
      <c r="A5" s="2" t="s">
        <v>15</v>
      </c>
      <c r="B5" s="3">
        <v>1167.4699999999998</v>
      </c>
    </row>
    <row r="6" spans="1:2" x14ac:dyDescent="0.25">
      <c r="A6" s="2" t="s">
        <v>19</v>
      </c>
      <c r="B6" s="3"/>
    </row>
    <row r="7" spans="1:2" x14ac:dyDescent="0.25">
      <c r="A7" s="2" t="s">
        <v>20</v>
      </c>
      <c r="B7" s="3">
        <v>4827.7700000000013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7053-C1B5-4DC0-B4CF-9E0192D109DE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1" t="s">
        <v>18</v>
      </c>
      <c r="B3" t="s">
        <v>25</v>
      </c>
    </row>
    <row r="4" spans="1:2" x14ac:dyDescent="0.25">
      <c r="A4" s="2" t="s">
        <v>9</v>
      </c>
      <c r="B4" s="3">
        <v>0.16689728635113457</v>
      </c>
    </row>
    <row r="5" spans="1:2" x14ac:dyDescent="0.25">
      <c r="A5" s="2" t="s">
        <v>16</v>
      </c>
      <c r="B5" s="3">
        <v>0.16991302873347888</v>
      </c>
    </row>
    <row r="6" spans="1:2" x14ac:dyDescent="0.25">
      <c r="A6" s="2" t="s">
        <v>12</v>
      </c>
      <c r="B6" s="3">
        <v>0.15315171638777811</v>
      </c>
    </row>
    <row r="7" spans="1:2" x14ac:dyDescent="0.25">
      <c r="A7" s="2" t="s">
        <v>14</v>
      </c>
      <c r="B7" s="3">
        <v>0.16127563396664704</v>
      </c>
    </row>
    <row r="8" spans="1:2" x14ac:dyDescent="0.25">
      <c r="A8" s="2" t="s">
        <v>19</v>
      </c>
      <c r="B8" s="3"/>
    </row>
    <row r="9" spans="1:2" x14ac:dyDescent="0.25">
      <c r="A9" s="2" t="s">
        <v>20</v>
      </c>
      <c r="B9" s="3">
        <v>0.16080258172250464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1F03-DDA4-47A7-8764-B40A527E471C}">
  <dimension ref="A3:B11"/>
  <sheetViews>
    <sheetView tabSelected="1" workbookViewId="0">
      <selection activeCell="I13" sqref="I13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3" spans="1:2" x14ac:dyDescent="0.25">
      <c r="A3" s="1" t="s">
        <v>18</v>
      </c>
      <c r="B3" t="s">
        <v>26</v>
      </c>
    </row>
    <row r="4" spans="1:2" x14ac:dyDescent="0.25">
      <c r="A4" s="2">
        <v>1</v>
      </c>
      <c r="B4" s="3">
        <v>4</v>
      </c>
    </row>
    <row r="5" spans="1:2" x14ac:dyDescent="0.25">
      <c r="A5" s="2">
        <v>2</v>
      </c>
      <c r="B5" s="3">
        <v>156</v>
      </c>
    </row>
    <row r="6" spans="1:2" x14ac:dyDescent="0.25">
      <c r="A6" s="2">
        <v>3</v>
      </c>
      <c r="B6" s="3">
        <v>38</v>
      </c>
    </row>
    <row r="7" spans="1:2" x14ac:dyDescent="0.25">
      <c r="A7" s="2">
        <v>4</v>
      </c>
      <c r="B7" s="3">
        <v>37</v>
      </c>
    </row>
    <row r="8" spans="1:2" x14ac:dyDescent="0.25">
      <c r="A8" s="2">
        <v>5</v>
      </c>
      <c r="B8" s="3">
        <v>5</v>
      </c>
    </row>
    <row r="9" spans="1:2" x14ac:dyDescent="0.25">
      <c r="A9" s="2">
        <v>6</v>
      </c>
      <c r="B9" s="3">
        <v>4</v>
      </c>
    </row>
    <row r="10" spans="1:2" x14ac:dyDescent="0.25">
      <c r="A10" s="2" t="s">
        <v>19</v>
      </c>
      <c r="B10" s="3"/>
    </row>
    <row r="11" spans="1:2" x14ac:dyDescent="0.25">
      <c r="A11" s="2" t="s">
        <v>20</v>
      </c>
      <c r="B11" s="3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B977-B0FE-4507-A9EE-A1CC74EADAFE}">
  <dimension ref="A1:I245"/>
  <sheetViews>
    <sheetView workbookViewId="0">
      <selection activeCell="J8" sqref="A1:XFD1048576"/>
    </sheetView>
  </sheetViews>
  <sheetFormatPr defaultRowHeight="15" x14ac:dyDescent="0.25"/>
  <cols>
    <col min="8" max="8" width="14.140625" customWidth="1"/>
    <col min="9" max="9" width="18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t="s">
        <v>17</v>
      </c>
    </row>
    <row r="2" spans="1:9" x14ac:dyDescent="0.2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  <c r="H2">
        <f>B2/A2</f>
        <v>5.9446733372572107E-2</v>
      </c>
      <c r="I2">
        <f>A2/G2</f>
        <v>8.4949999999999992</v>
      </c>
    </row>
    <row r="3" spans="1:9" x14ac:dyDescent="0.2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  <c r="H3">
        <f>B3/A3</f>
        <v>0.16054158607350097</v>
      </c>
      <c r="I3">
        <f t="shared" ref="I3:I66" si="0">A3/G3</f>
        <v>3.4466666666666668</v>
      </c>
    </row>
    <row r="4" spans="1:9" x14ac:dyDescent="0.2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  <c r="H4">
        <f t="shared" ref="H4:H67" si="1">B4/A4</f>
        <v>0.16658733936220846</v>
      </c>
      <c r="I4">
        <f t="shared" si="0"/>
        <v>7.0033333333333339</v>
      </c>
    </row>
    <row r="5" spans="1:9" x14ac:dyDescent="0.2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  <c r="H5">
        <f t="shared" si="1"/>
        <v>0.1397804054054054</v>
      </c>
      <c r="I5">
        <f t="shared" si="0"/>
        <v>11.84</v>
      </c>
    </row>
    <row r="6" spans="1:9" x14ac:dyDescent="0.2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  <c r="H6">
        <f t="shared" si="1"/>
        <v>0.14680764538430255</v>
      </c>
      <c r="I6">
        <f t="shared" si="0"/>
        <v>6.1475</v>
      </c>
    </row>
    <row r="7" spans="1:9" x14ac:dyDescent="0.2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  <c r="H7">
        <f t="shared" si="1"/>
        <v>0.18623962040332148</v>
      </c>
      <c r="I7">
        <f t="shared" si="0"/>
        <v>6.3224999999999998</v>
      </c>
    </row>
    <row r="8" spans="1:9" x14ac:dyDescent="0.2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  <c r="H8">
        <f t="shared" si="1"/>
        <v>0.22805017103762829</v>
      </c>
      <c r="I8">
        <f t="shared" si="0"/>
        <v>4.3849999999999998</v>
      </c>
    </row>
    <row r="9" spans="1:9" x14ac:dyDescent="0.2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  <c r="H9">
        <f t="shared" si="1"/>
        <v>0.11607142857142858</v>
      </c>
      <c r="I9">
        <f t="shared" si="0"/>
        <v>6.72</v>
      </c>
    </row>
    <row r="10" spans="1:9" x14ac:dyDescent="0.2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  <c r="H10">
        <f t="shared" si="1"/>
        <v>0.13031914893617022</v>
      </c>
      <c r="I10">
        <f t="shared" si="0"/>
        <v>7.52</v>
      </c>
    </row>
    <row r="11" spans="1:9" x14ac:dyDescent="0.2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  <c r="H11">
        <f t="shared" si="1"/>
        <v>0.21853856562922869</v>
      </c>
      <c r="I11">
        <f t="shared" si="0"/>
        <v>7.39</v>
      </c>
    </row>
    <row r="12" spans="1:9" x14ac:dyDescent="0.2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  <c r="H12">
        <f t="shared" si="1"/>
        <v>0.1665043816942551</v>
      </c>
      <c r="I12">
        <f t="shared" si="0"/>
        <v>5.1349999999999998</v>
      </c>
    </row>
    <row r="13" spans="1:9" x14ac:dyDescent="0.2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  <c r="H13">
        <f t="shared" si="1"/>
        <v>0.14180374361883155</v>
      </c>
      <c r="I13">
        <f t="shared" si="0"/>
        <v>8.8149999999999995</v>
      </c>
    </row>
    <row r="14" spans="1:9" x14ac:dyDescent="0.2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  <c r="H14">
        <f t="shared" si="1"/>
        <v>0.10181582360570687</v>
      </c>
      <c r="I14">
        <f t="shared" si="0"/>
        <v>7.71</v>
      </c>
    </row>
    <row r="15" spans="1:9" x14ac:dyDescent="0.2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  <c r="H15">
        <f t="shared" si="1"/>
        <v>0.16277807921866522</v>
      </c>
      <c r="I15">
        <f t="shared" si="0"/>
        <v>4.6074999999999999</v>
      </c>
    </row>
    <row r="16" spans="1:9" x14ac:dyDescent="0.2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  <c r="H16">
        <f t="shared" si="1"/>
        <v>0.20364126770060686</v>
      </c>
      <c r="I16">
        <f t="shared" si="0"/>
        <v>7.415</v>
      </c>
    </row>
    <row r="17" spans="1:9" x14ac:dyDescent="0.2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  <c r="H17">
        <f t="shared" si="1"/>
        <v>0.18164967562557924</v>
      </c>
      <c r="I17">
        <f t="shared" si="0"/>
        <v>10.79</v>
      </c>
    </row>
    <row r="18" spans="1:9" x14ac:dyDescent="0.2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  <c r="H18">
        <f t="shared" si="1"/>
        <v>0.16166505324298161</v>
      </c>
      <c r="I18">
        <f t="shared" si="0"/>
        <v>3.4433333333333334</v>
      </c>
    </row>
    <row r="19" spans="1:9" x14ac:dyDescent="0.2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  <c r="H19">
        <f t="shared" si="1"/>
        <v>0.22774708410067526</v>
      </c>
      <c r="I19">
        <f t="shared" si="0"/>
        <v>5.43</v>
      </c>
    </row>
    <row r="20" spans="1:9" x14ac:dyDescent="0.2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  <c r="H20">
        <f t="shared" si="1"/>
        <v>0.20624631703005306</v>
      </c>
      <c r="I20">
        <f t="shared" si="0"/>
        <v>5.6566666666666663</v>
      </c>
    </row>
    <row r="21" spans="1:9" x14ac:dyDescent="0.2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  <c r="H21">
        <f t="shared" si="1"/>
        <v>0.16222760290556903</v>
      </c>
      <c r="I21">
        <f t="shared" si="0"/>
        <v>6.8833333333333329</v>
      </c>
    </row>
    <row r="22" spans="1:9" x14ac:dyDescent="0.2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  <c r="H22">
        <f t="shared" si="1"/>
        <v>0.22767857142857142</v>
      </c>
      <c r="I22">
        <f t="shared" si="0"/>
        <v>8.9600000000000009</v>
      </c>
    </row>
    <row r="23" spans="1:9" x14ac:dyDescent="0.2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  <c r="H23">
        <f t="shared" si="1"/>
        <v>0.13553474618038444</v>
      </c>
      <c r="I23">
        <f t="shared" si="0"/>
        <v>10.145</v>
      </c>
    </row>
    <row r="24" spans="1:9" x14ac:dyDescent="0.2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  <c r="H24">
        <f t="shared" si="1"/>
        <v>0.14140773620798985</v>
      </c>
      <c r="I24">
        <f t="shared" si="0"/>
        <v>7.8849999999999998</v>
      </c>
    </row>
    <row r="25" spans="1:9" x14ac:dyDescent="0.2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  <c r="H25">
        <f t="shared" si="1"/>
        <v>0.19228817858954844</v>
      </c>
      <c r="I25">
        <f t="shared" si="0"/>
        <v>9.8550000000000004</v>
      </c>
    </row>
    <row r="26" spans="1:9" x14ac:dyDescent="0.2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  <c r="H26">
        <f t="shared" si="1"/>
        <v>0.16044399596367306</v>
      </c>
      <c r="I26">
        <f t="shared" si="0"/>
        <v>9.91</v>
      </c>
    </row>
    <row r="27" spans="1:9" x14ac:dyDescent="0.2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  <c r="H27">
        <f t="shared" si="1"/>
        <v>0.13138686131386862</v>
      </c>
      <c r="I27">
        <f t="shared" si="0"/>
        <v>4.4524999999999997</v>
      </c>
    </row>
    <row r="28" spans="1:9" x14ac:dyDescent="0.2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  <c r="H28">
        <f t="shared" si="1"/>
        <v>0.14958863126402394</v>
      </c>
      <c r="I28">
        <f t="shared" si="0"/>
        <v>6.6849999999999996</v>
      </c>
    </row>
    <row r="29" spans="1:9" x14ac:dyDescent="0.2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  <c r="H29">
        <f t="shared" si="1"/>
        <v>0.15760441292356187</v>
      </c>
      <c r="I29">
        <f t="shared" si="0"/>
        <v>6.3449999999999998</v>
      </c>
    </row>
    <row r="30" spans="1:9" x14ac:dyDescent="0.2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  <c r="H30">
        <f t="shared" si="1"/>
        <v>0.19815668202764977</v>
      </c>
      <c r="I30">
        <f t="shared" si="0"/>
        <v>10.85</v>
      </c>
    </row>
    <row r="31" spans="1:9" x14ac:dyDescent="0.2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  <c r="H31">
        <f t="shared" si="1"/>
        <v>0.15267175572519084</v>
      </c>
      <c r="I31">
        <f t="shared" si="0"/>
        <v>9.8249999999999993</v>
      </c>
    </row>
    <row r="32" spans="1:9" x14ac:dyDescent="0.2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  <c r="H32">
        <f t="shared" si="1"/>
        <v>0.15183246073298429</v>
      </c>
      <c r="I32">
        <f t="shared" si="0"/>
        <v>4.7750000000000004</v>
      </c>
    </row>
    <row r="33" spans="1:9" x14ac:dyDescent="0.2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  <c r="H33">
        <f t="shared" si="1"/>
        <v>0.13623978201634876</v>
      </c>
      <c r="I33">
        <f t="shared" si="0"/>
        <v>4.5875000000000004</v>
      </c>
    </row>
    <row r="34" spans="1:9" x14ac:dyDescent="0.2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  <c r="H34">
        <f t="shared" si="1"/>
        <v>0.19920318725099601</v>
      </c>
      <c r="I34">
        <f t="shared" si="0"/>
        <v>7.53</v>
      </c>
    </row>
    <row r="35" spans="1:9" x14ac:dyDescent="0.2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  <c r="H35">
        <f t="shared" si="1"/>
        <v>0.11841469308844853</v>
      </c>
      <c r="I35">
        <f t="shared" si="0"/>
        <v>5.1725000000000003</v>
      </c>
    </row>
    <row r="36" spans="1:9" x14ac:dyDescent="0.2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  <c r="H36">
        <f t="shared" si="1"/>
        <v>0.18391451068616421</v>
      </c>
      <c r="I36">
        <f t="shared" si="0"/>
        <v>8.89</v>
      </c>
    </row>
    <row r="37" spans="1:9" x14ac:dyDescent="0.2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  <c r="H37">
        <f t="shared" si="1"/>
        <v>0.14962593516209477</v>
      </c>
      <c r="I37">
        <f t="shared" si="0"/>
        <v>8.02</v>
      </c>
    </row>
    <row r="38" spans="1:9" x14ac:dyDescent="0.2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  <c r="H38">
        <f t="shared" si="1"/>
        <v>0.12262415695892091</v>
      </c>
      <c r="I38">
        <f t="shared" si="0"/>
        <v>5.4366666666666665</v>
      </c>
    </row>
    <row r="39" spans="1:9" x14ac:dyDescent="0.2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  <c r="H39">
        <f t="shared" si="1"/>
        <v>0.1813349084465446</v>
      </c>
      <c r="I39">
        <f t="shared" si="0"/>
        <v>5.6433333333333335</v>
      </c>
    </row>
    <row r="40" spans="1:9" x14ac:dyDescent="0.2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  <c r="H40">
        <f t="shared" si="1"/>
        <v>0.12359550561797752</v>
      </c>
      <c r="I40">
        <f t="shared" si="0"/>
        <v>6.23</v>
      </c>
    </row>
    <row r="41" spans="1:9" x14ac:dyDescent="0.2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  <c r="H41">
        <f t="shared" si="1"/>
        <v>0.1598976654940838</v>
      </c>
      <c r="I41">
        <f t="shared" si="0"/>
        <v>10.423333333333334</v>
      </c>
    </row>
    <row r="42" spans="1:9" x14ac:dyDescent="0.2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  <c r="H42">
        <f t="shared" si="1"/>
        <v>0.13965087281795513</v>
      </c>
      <c r="I42">
        <f t="shared" si="0"/>
        <v>5.3466666666666667</v>
      </c>
    </row>
    <row r="43" spans="1:9" x14ac:dyDescent="0.2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  <c r="H43">
        <f t="shared" si="1"/>
        <v>0.14547537227949597</v>
      </c>
      <c r="I43">
        <f t="shared" si="0"/>
        <v>8.73</v>
      </c>
    </row>
    <row r="44" spans="1:9" x14ac:dyDescent="0.2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  <c r="H44">
        <f t="shared" si="1"/>
        <v>0.21951219512195122</v>
      </c>
      <c r="I44">
        <f t="shared" si="0"/>
        <v>6.97</v>
      </c>
    </row>
    <row r="45" spans="1:9" x14ac:dyDescent="0.2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  <c r="H45">
        <f t="shared" si="1"/>
        <v>0.13636363636363638</v>
      </c>
      <c r="I45">
        <f t="shared" si="0"/>
        <v>4.84</v>
      </c>
    </row>
    <row r="46" spans="1:9" x14ac:dyDescent="0.2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  <c r="H46">
        <f t="shared" si="1"/>
        <v>0.18421052631578946</v>
      </c>
      <c r="I46">
        <f t="shared" si="0"/>
        <v>7.6</v>
      </c>
    </row>
    <row r="47" spans="1:9" x14ac:dyDescent="0.2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  <c r="H47">
        <f t="shared" si="1"/>
        <v>0.16402405686167304</v>
      </c>
      <c r="I47">
        <f t="shared" si="0"/>
        <v>9.1449999999999996</v>
      </c>
    </row>
    <row r="48" spans="1:9" x14ac:dyDescent="0.2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  <c r="H48">
        <f t="shared" si="1"/>
        <v>0.22492127755285649</v>
      </c>
      <c r="I48">
        <f t="shared" si="0"/>
        <v>11.115</v>
      </c>
    </row>
    <row r="49" spans="1:9" x14ac:dyDescent="0.2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  <c r="H49">
        <f t="shared" si="1"/>
        <v>0.1851851851851852</v>
      </c>
      <c r="I49">
        <f t="shared" si="0"/>
        <v>8.1</v>
      </c>
    </row>
    <row r="50" spans="1:9" x14ac:dyDescent="0.2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  <c r="H50">
        <f t="shared" si="1"/>
        <v>7.1803852889667244E-2</v>
      </c>
      <c r="I50">
        <f t="shared" si="0"/>
        <v>9.5166666666666675</v>
      </c>
    </row>
    <row r="51" spans="1:9" x14ac:dyDescent="0.2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  <c r="H51">
        <f t="shared" si="1"/>
        <v>0.16629711751662973</v>
      </c>
      <c r="I51">
        <f t="shared" si="0"/>
        <v>9.02</v>
      </c>
    </row>
    <row r="52" spans="1:9" x14ac:dyDescent="0.2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  <c r="H52">
        <f t="shared" si="1"/>
        <v>0.19936204146730463</v>
      </c>
      <c r="I52">
        <f t="shared" si="0"/>
        <v>6.27</v>
      </c>
    </row>
    <row r="53" spans="1:9" x14ac:dyDescent="0.2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  <c r="H53">
        <f t="shared" si="1"/>
        <v>0.25267249757045679</v>
      </c>
      <c r="I53">
        <f t="shared" si="0"/>
        <v>5.1449999999999996</v>
      </c>
    </row>
    <row r="54" spans="1:9" x14ac:dyDescent="0.2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  <c r="H54">
        <f t="shared" si="1"/>
        <v>0.14938236139040506</v>
      </c>
      <c r="I54">
        <f t="shared" si="0"/>
        <v>8.7025000000000006</v>
      </c>
    </row>
    <row r="55" spans="1:9" x14ac:dyDescent="0.2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  <c r="H55">
        <f t="shared" si="1"/>
        <v>0.15694164989939638</v>
      </c>
      <c r="I55">
        <f t="shared" si="0"/>
        <v>4.97</v>
      </c>
    </row>
    <row r="56" spans="1:9" x14ac:dyDescent="0.2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  <c r="H56">
        <f t="shared" si="1"/>
        <v>0.16979655712050079</v>
      </c>
      <c r="I56">
        <f t="shared" si="0"/>
        <v>6.39</v>
      </c>
    </row>
    <row r="57" spans="1:9" x14ac:dyDescent="0.2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  <c r="H57">
        <f t="shared" si="1"/>
        <v>0.18009235505387378</v>
      </c>
      <c r="I57">
        <f t="shared" si="0"/>
        <v>9.7449999999999992</v>
      </c>
    </row>
    <row r="58" spans="1:9" x14ac:dyDescent="0.2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  <c r="H58">
        <f t="shared" si="1"/>
        <v>7.8926598263614839E-2</v>
      </c>
      <c r="I58">
        <f t="shared" si="0"/>
        <v>9.5024999999999995</v>
      </c>
    </row>
    <row r="59" spans="1:9" x14ac:dyDescent="0.2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  <c r="H59">
        <f t="shared" si="1"/>
        <v>5.679666792881484E-2</v>
      </c>
      <c r="I59">
        <f t="shared" si="0"/>
        <v>13.205</v>
      </c>
    </row>
    <row r="60" spans="1:9" x14ac:dyDescent="0.2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  <c r="H60">
        <f t="shared" si="1"/>
        <v>0.15658362989323843</v>
      </c>
      <c r="I60">
        <f t="shared" si="0"/>
        <v>5.62</v>
      </c>
    </row>
    <row r="61" spans="1:9" x14ac:dyDescent="0.2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  <c r="H61">
        <f t="shared" si="1"/>
        <v>0.13942407292314066</v>
      </c>
      <c r="I61">
        <f t="shared" si="0"/>
        <v>12.067500000000001</v>
      </c>
    </row>
    <row r="62" spans="1:9" x14ac:dyDescent="0.2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  <c r="H62">
        <f t="shared" si="1"/>
        <v>0.15820601281419419</v>
      </c>
      <c r="I62">
        <f t="shared" si="0"/>
        <v>10.145</v>
      </c>
    </row>
    <row r="63" spans="1:9" x14ac:dyDescent="0.2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  <c r="H63">
        <f t="shared" si="1"/>
        <v>0.14482259232440259</v>
      </c>
      <c r="I63">
        <f t="shared" si="0"/>
        <v>6.9050000000000002</v>
      </c>
    </row>
    <row r="64" spans="1:9" x14ac:dyDescent="0.2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  <c r="H64">
        <f t="shared" si="1"/>
        <v>0.17967332123411978</v>
      </c>
      <c r="I64">
        <f t="shared" si="0"/>
        <v>5.51</v>
      </c>
    </row>
    <row r="65" spans="1:9" x14ac:dyDescent="0.2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  <c r="H65">
        <f t="shared" si="1"/>
        <v>0.20557681793329688</v>
      </c>
      <c r="I65">
        <f t="shared" si="0"/>
        <v>4.5724999999999998</v>
      </c>
    </row>
    <row r="66" spans="1:9" x14ac:dyDescent="0.2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  <c r="H66">
        <f t="shared" si="1"/>
        <v>0.15008527572484368</v>
      </c>
      <c r="I66">
        <f t="shared" si="0"/>
        <v>5.8633333333333333</v>
      </c>
    </row>
    <row r="67" spans="1:9" x14ac:dyDescent="0.2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  <c r="H67">
        <f t="shared" si="1"/>
        <v>0.15687250996015936</v>
      </c>
      <c r="I67">
        <f t="shared" ref="I67:I130" si="2">A67/G67</f>
        <v>6.6933333333333325</v>
      </c>
    </row>
    <row r="68" spans="1:9" x14ac:dyDescent="0.2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  <c r="H68">
        <f t="shared" ref="H68:H131" si="3">B68/A68</f>
        <v>0.1501519756838906</v>
      </c>
      <c r="I68">
        <f t="shared" si="2"/>
        <v>8.2249999999999996</v>
      </c>
    </row>
    <row r="69" spans="1:9" x14ac:dyDescent="0.2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  <c r="H69">
        <f t="shared" si="3"/>
        <v>0.32573289902280134</v>
      </c>
      <c r="I69">
        <f t="shared" si="2"/>
        <v>3.07</v>
      </c>
    </row>
    <row r="70" spans="1:9" x14ac:dyDescent="0.2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  <c r="H70">
        <f t="shared" si="3"/>
        <v>9.9357390014829447E-2</v>
      </c>
      <c r="I70">
        <f t="shared" si="2"/>
        <v>10.115</v>
      </c>
    </row>
    <row r="71" spans="1:9" x14ac:dyDescent="0.2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  <c r="H71">
        <f t="shared" si="3"/>
        <v>0.13924050632911392</v>
      </c>
      <c r="I71">
        <f t="shared" si="2"/>
        <v>7.5049999999999999</v>
      </c>
    </row>
    <row r="72" spans="1:9" x14ac:dyDescent="0.2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  <c r="H72">
        <f t="shared" si="3"/>
        <v>0.16389351081530781</v>
      </c>
      <c r="I72">
        <f t="shared" si="2"/>
        <v>6.01</v>
      </c>
    </row>
    <row r="73" spans="1:9" x14ac:dyDescent="0.2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  <c r="H73">
        <f t="shared" si="3"/>
        <v>0.1757469244288225</v>
      </c>
      <c r="I73">
        <f t="shared" si="2"/>
        <v>5.69</v>
      </c>
    </row>
    <row r="74" spans="1:9" x14ac:dyDescent="0.2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  <c r="H74">
        <f t="shared" si="3"/>
        <v>0.11690245718540582</v>
      </c>
      <c r="I74">
        <f t="shared" si="2"/>
        <v>13.43</v>
      </c>
    </row>
    <row r="75" spans="1:9" x14ac:dyDescent="0.2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  <c r="H75">
        <f t="shared" si="3"/>
        <v>0.19778481012658228</v>
      </c>
      <c r="I75">
        <f t="shared" si="2"/>
        <v>12.64</v>
      </c>
    </row>
    <row r="76" spans="1:9" x14ac:dyDescent="0.2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  <c r="H76">
        <f t="shared" si="3"/>
        <v>0.14935505770536323</v>
      </c>
      <c r="I76">
        <f t="shared" si="2"/>
        <v>7.3650000000000002</v>
      </c>
    </row>
    <row r="77" spans="1:9" x14ac:dyDescent="0.2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  <c r="H77">
        <f t="shared" si="3"/>
        <v>0.11893434823977164</v>
      </c>
      <c r="I77">
        <f t="shared" si="2"/>
        <v>5.2549999999999999</v>
      </c>
    </row>
    <row r="78" spans="1:9" x14ac:dyDescent="0.2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  <c r="H78">
        <f t="shared" si="3"/>
        <v>0.171875</v>
      </c>
      <c r="I78">
        <f t="shared" si="2"/>
        <v>8.9600000000000009</v>
      </c>
    </row>
    <row r="79" spans="1:9" x14ac:dyDescent="0.2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  <c r="H79">
        <f t="shared" si="3"/>
        <v>0.14705882352941177</v>
      </c>
      <c r="I79">
        <f t="shared" si="2"/>
        <v>6.8</v>
      </c>
    </row>
    <row r="80" spans="1:9" x14ac:dyDescent="0.2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  <c r="H80">
        <f t="shared" si="3"/>
        <v>0.13181019332161686</v>
      </c>
      <c r="I80">
        <f t="shared" si="2"/>
        <v>11.38</v>
      </c>
    </row>
    <row r="81" spans="1:9" x14ac:dyDescent="0.2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  <c r="H81">
        <f t="shared" si="3"/>
        <v>0.15673799884326201</v>
      </c>
      <c r="I81">
        <f t="shared" si="2"/>
        <v>8.6449999999999996</v>
      </c>
    </row>
    <row r="82" spans="1:9" x14ac:dyDescent="0.2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  <c r="H82">
        <f t="shared" si="3"/>
        <v>0.15432098765432098</v>
      </c>
      <c r="I82">
        <f t="shared" si="2"/>
        <v>9.7200000000000006</v>
      </c>
    </row>
    <row r="83" spans="1:9" x14ac:dyDescent="0.2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  <c r="H83">
        <f t="shared" si="3"/>
        <v>0.20408163265306123</v>
      </c>
      <c r="I83">
        <f t="shared" si="2"/>
        <v>8.33</v>
      </c>
    </row>
    <row r="84" spans="1:9" x14ac:dyDescent="0.2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  <c r="H84">
        <f t="shared" si="3"/>
        <v>0.18172790466732869</v>
      </c>
      <c r="I84">
        <f t="shared" si="2"/>
        <v>10.07</v>
      </c>
    </row>
    <row r="85" spans="1:9" x14ac:dyDescent="0.2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  <c r="H85">
        <f t="shared" si="3"/>
        <v>0.15299877600979192</v>
      </c>
      <c r="I85">
        <f t="shared" si="2"/>
        <v>16.34</v>
      </c>
    </row>
    <row r="86" spans="1:9" x14ac:dyDescent="0.2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  <c r="H86">
        <f t="shared" si="3"/>
        <v>0.12703379224030037</v>
      </c>
      <c r="I86">
        <f t="shared" si="2"/>
        <v>7.99</v>
      </c>
    </row>
    <row r="87" spans="1:9" x14ac:dyDescent="0.2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  <c r="H87">
        <f t="shared" si="3"/>
        <v>0.14843525696238874</v>
      </c>
      <c r="I87">
        <f t="shared" si="2"/>
        <v>8.7074999999999996</v>
      </c>
    </row>
    <row r="88" spans="1:9" x14ac:dyDescent="0.2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  <c r="H88">
        <f t="shared" si="3"/>
        <v>0.15349194167306218</v>
      </c>
      <c r="I88">
        <f t="shared" si="2"/>
        <v>6.5149999999999997</v>
      </c>
    </row>
    <row r="89" spans="1:9" x14ac:dyDescent="0.2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  <c r="H89">
        <f t="shared" si="3"/>
        <v>0.21881838074398249</v>
      </c>
      <c r="I89">
        <f t="shared" si="2"/>
        <v>9.14</v>
      </c>
    </row>
    <row r="90" spans="1:9" x14ac:dyDescent="0.2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  <c r="H90">
        <f t="shared" si="3"/>
        <v>0.23674625657628487</v>
      </c>
      <c r="I90">
        <f t="shared" si="2"/>
        <v>12.355</v>
      </c>
    </row>
    <row r="91" spans="1:9" x14ac:dyDescent="0.2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  <c r="H91">
        <f t="shared" si="3"/>
        <v>0.14177693761814744</v>
      </c>
      <c r="I91">
        <f t="shared" si="2"/>
        <v>10.58</v>
      </c>
    </row>
    <row r="92" spans="1:9" x14ac:dyDescent="0.2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  <c r="H92">
        <f t="shared" si="3"/>
        <v>0.10355540214014498</v>
      </c>
      <c r="I92">
        <f t="shared" si="2"/>
        <v>14.484999999999999</v>
      </c>
    </row>
    <row r="93" spans="1:9" x14ac:dyDescent="0.2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  <c r="H93">
        <f t="shared" si="3"/>
        <v>0.15562472209871056</v>
      </c>
      <c r="I93">
        <f t="shared" si="2"/>
        <v>11.244999999999999</v>
      </c>
    </row>
    <row r="94" spans="1:9" x14ac:dyDescent="0.2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  <c r="H94">
        <f t="shared" si="3"/>
        <v>0.17391304347826086</v>
      </c>
      <c r="I94">
        <f t="shared" si="2"/>
        <v>2.875</v>
      </c>
    </row>
    <row r="95" spans="1:9" x14ac:dyDescent="0.2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  <c r="H95">
        <f t="shared" si="3"/>
        <v>0.26348039215686275</v>
      </c>
      <c r="I95">
        <f t="shared" si="2"/>
        <v>8.16</v>
      </c>
    </row>
    <row r="96" spans="1:9" x14ac:dyDescent="0.2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  <c r="H96">
        <f t="shared" si="3"/>
        <v>0.14285714285714285</v>
      </c>
      <c r="I96">
        <f t="shared" si="2"/>
        <v>11.375</v>
      </c>
    </row>
    <row r="97" spans="1:9" x14ac:dyDescent="0.2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  <c r="H97">
        <f t="shared" si="3"/>
        <v>0.1177495643515061</v>
      </c>
      <c r="I97">
        <f t="shared" si="2"/>
        <v>10.0425</v>
      </c>
    </row>
    <row r="98" spans="1:9" x14ac:dyDescent="0.2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  <c r="H98">
        <f t="shared" si="3"/>
        <v>0.14662756598240467</v>
      </c>
      <c r="I98">
        <f t="shared" si="2"/>
        <v>13.64</v>
      </c>
    </row>
    <row r="99" spans="1:9" x14ac:dyDescent="0.2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  <c r="H99">
        <f t="shared" si="3"/>
        <v>0.12468827930174564</v>
      </c>
      <c r="I99">
        <f t="shared" si="2"/>
        <v>6.0149999999999997</v>
      </c>
    </row>
    <row r="100" spans="1:9" x14ac:dyDescent="0.2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  <c r="H100">
        <f t="shared" si="3"/>
        <v>0.1427891480247501</v>
      </c>
      <c r="I100">
        <f t="shared" si="2"/>
        <v>10.505000000000001</v>
      </c>
    </row>
    <row r="101" spans="1:9" x14ac:dyDescent="0.2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  <c r="H101">
        <f t="shared" si="3"/>
        <v>0.1203852327447833</v>
      </c>
      <c r="I101">
        <f t="shared" si="2"/>
        <v>6.23</v>
      </c>
    </row>
    <row r="102" spans="1:9" x14ac:dyDescent="0.2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  <c r="H102">
        <f t="shared" si="3"/>
        <v>0.22026431718061676</v>
      </c>
      <c r="I102">
        <f t="shared" si="2"/>
        <v>5.6749999999999998</v>
      </c>
    </row>
    <row r="103" spans="1:9" x14ac:dyDescent="0.2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  <c r="H103">
        <f t="shared" si="3"/>
        <v>0.19505851755526657</v>
      </c>
      <c r="I103">
        <f t="shared" si="2"/>
        <v>7.69</v>
      </c>
    </row>
    <row r="104" spans="1:9" x14ac:dyDescent="0.2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  <c r="H104">
        <f t="shared" si="3"/>
        <v>5.6433408577878111E-2</v>
      </c>
      <c r="I104">
        <f t="shared" si="2"/>
        <v>14.766666666666666</v>
      </c>
    </row>
    <row r="105" spans="1:9" x14ac:dyDescent="0.2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  <c r="H105">
        <f t="shared" si="3"/>
        <v>0.15521855486173058</v>
      </c>
      <c r="I105">
        <f t="shared" si="2"/>
        <v>11.21</v>
      </c>
    </row>
    <row r="106" spans="1:9" x14ac:dyDescent="0.2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  <c r="H106">
        <f t="shared" si="3"/>
        <v>0.19502868068833651</v>
      </c>
      <c r="I106">
        <f t="shared" si="2"/>
        <v>10.46</v>
      </c>
    </row>
    <row r="107" spans="1:9" x14ac:dyDescent="0.2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  <c r="H107">
        <f t="shared" si="3"/>
        <v>0.10677083333333333</v>
      </c>
      <c r="I107">
        <f t="shared" si="2"/>
        <v>7.68</v>
      </c>
    </row>
    <row r="108" spans="1:9" x14ac:dyDescent="0.2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  <c r="H108">
        <f t="shared" si="3"/>
        <v>0.19814543679843827</v>
      </c>
      <c r="I108">
        <f t="shared" si="2"/>
        <v>10.244999999999999</v>
      </c>
    </row>
    <row r="109" spans="1:9" x14ac:dyDescent="0.2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  <c r="H109">
        <f t="shared" si="3"/>
        <v>0.17017056723522411</v>
      </c>
      <c r="I109">
        <f t="shared" si="2"/>
        <v>12.605</v>
      </c>
    </row>
    <row r="110" spans="1:9" x14ac:dyDescent="0.2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  <c r="H110">
        <f t="shared" si="3"/>
        <v>0.20614035087719298</v>
      </c>
      <c r="I110">
        <f t="shared" si="2"/>
        <v>9.1199999999999992</v>
      </c>
    </row>
    <row r="111" spans="1:9" x14ac:dyDescent="0.2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  <c r="H111">
        <f t="shared" si="3"/>
        <v>0.27952480782669459</v>
      </c>
      <c r="I111">
        <f t="shared" si="2"/>
        <v>7.1550000000000002</v>
      </c>
    </row>
    <row r="112" spans="1:9" x14ac:dyDescent="0.2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  <c r="H112">
        <f t="shared" si="3"/>
        <v>0.21428571428571427</v>
      </c>
      <c r="I112">
        <f t="shared" si="2"/>
        <v>7</v>
      </c>
    </row>
    <row r="113" spans="1:9" x14ac:dyDescent="0.2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  <c r="H113">
        <f t="shared" si="3"/>
        <v>0.13793103448275862</v>
      </c>
      <c r="I113">
        <f t="shared" si="2"/>
        <v>7.25</v>
      </c>
    </row>
    <row r="114" spans="1:9" x14ac:dyDescent="0.2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  <c r="H114">
        <f t="shared" si="3"/>
        <v>0.10506960861570791</v>
      </c>
      <c r="I114">
        <f t="shared" si="2"/>
        <v>12.69</v>
      </c>
    </row>
    <row r="115" spans="1:9" x14ac:dyDescent="0.2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  <c r="H115">
        <f t="shared" si="3"/>
        <v>0.10647181628392484</v>
      </c>
      <c r="I115">
        <f t="shared" si="2"/>
        <v>11.975</v>
      </c>
    </row>
    <row r="116" spans="1:9" x14ac:dyDescent="0.2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  <c r="H116">
        <f t="shared" si="3"/>
        <v>0.15558148580318942</v>
      </c>
      <c r="I116">
        <f t="shared" si="2"/>
        <v>8.57</v>
      </c>
    </row>
    <row r="117" spans="1:9" x14ac:dyDescent="0.2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  <c r="H117">
        <f t="shared" si="3"/>
        <v>0.20219526285384173</v>
      </c>
      <c r="I117">
        <f t="shared" si="2"/>
        <v>8.6549999999999994</v>
      </c>
    </row>
    <row r="118" spans="1:9" x14ac:dyDescent="0.2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  <c r="H118">
        <f t="shared" si="3"/>
        <v>0.1693952555963916</v>
      </c>
      <c r="I118">
        <f t="shared" si="2"/>
        <v>7.4824999999999999</v>
      </c>
    </row>
    <row r="119" spans="1:9" x14ac:dyDescent="0.2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  <c r="H119">
        <f t="shared" si="3"/>
        <v>0.14084507042253522</v>
      </c>
      <c r="I119">
        <f t="shared" si="2"/>
        <v>5.3250000000000002</v>
      </c>
    </row>
    <row r="120" spans="1:9" x14ac:dyDescent="0.2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  <c r="H120">
        <f t="shared" si="3"/>
        <v>0.14481094127111827</v>
      </c>
      <c r="I120">
        <f t="shared" si="2"/>
        <v>6.2149999999999999</v>
      </c>
    </row>
    <row r="121" spans="1:9" x14ac:dyDescent="0.2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  <c r="H121">
        <f t="shared" si="3"/>
        <v>0.1212624584717608</v>
      </c>
      <c r="I121">
        <f t="shared" si="2"/>
        <v>6.02</v>
      </c>
    </row>
    <row r="122" spans="1:9" x14ac:dyDescent="0.2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  <c r="H122">
        <f t="shared" si="3"/>
        <v>0.19760479041916168</v>
      </c>
      <c r="I122">
        <f t="shared" si="2"/>
        <v>5.8449999999999998</v>
      </c>
    </row>
    <row r="123" spans="1:9" x14ac:dyDescent="0.2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  <c r="H123">
        <f t="shared" si="3"/>
        <v>0.12518628912071533</v>
      </c>
      <c r="I123">
        <f t="shared" si="2"/>
        <v>6.71</v>
      </c>
    </row>
    <row r="124" spans="1:9" x14ac:dyDescent="0.2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  <c r="H124">
        <f t="shared" si="3"/>
        <v>0.17531556802244039</v>
      </c>
      <c r="I124">
        <f t="shared" si="2"/>
        <v>7.13</v>
      </c>
    </row>
    <row r="125" spans="1:9" x14ac:dyDescent="0.2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  <c r="H125">
        <f t="shared" si="3"/>
        <v>0.12539184952978058</v>
      </c>
      <c r="I125">
        <f t="shared" si="2"/>
        <v>7.9749999999999996</v>
      </c>
    </row>
    <row r="126" spans="1:9" x14ac:dyDescent="0.2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  <c r="H126">
        <f t="shared" si="3"/>
        <v>0.20192307692307693</v>
      </c>
      <c r="I126">
        <f t="shared" si="2"/>
        <v>6.24</v>
      </c>
    </row>
    <row r="127" spans="1:9" x14ac:dyDescent="0.2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  <c r="H127">
        <f t="shared" si="3"/>
        <v>0.14093959731543623</v>
      </c>
      <c r="I127">
        <f t="shared" si="2"/>
        <v>4.9666666666666668</v>
      </c>
    </row>
    <row r="128" spans="1:9" x14ac:dyDescent="0.2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  <c r="H128">
        <f t="shared" si="3"/>
        <v>0.17370892018779344</v>
      </c>
      <c r="I128">
        <f t="shared" si="2"/>
        <v>4.26</v>
      </c>
    </row>
    <row r="129" spans="1:9" x14ac:dyDescent="0.2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  <c r="H129">
        <f t="shared" si="3"/>
        <v>0.13774104683195593</v>
      </c>
      <c r="I129">
        <f t="shared" si="2"/>
        <v>7.26</v>
      </c>
    </row>
    <row r="130" spans="1:9" x14ac:dyDescent="0.2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  <c r="H130">
        <f t="shared" si="3"/>
        <v>0.17574692442882248</v>
      </c>
      <c r="I130">
        <f t="shared" si="2"/>
        <v>5.69</v>
      </c>
    </row>
    <row r="131" spans="1:9" x14ac:dyDescent="0.2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  <c r="H131">
        <f t="shared" si="3"/>
        <v>9.5530236634531113E-2</v>
      </c>
      <c r="I131">
        <f t="shared" ref="I131:I194" si="4">A131/G131</f>
        <v>7.6066666666666665</v>
      </c>
    </row>
    <row r="132" spans="1:9" x14ac:dyDescent="0.2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  <c r="H132">
        <f t="shared" ref="H132:H195" si="5">B132/A132</f>
        <v>7.8616352201257872E-2</v>
      </c>
      <c r="I132">
        <f t="shared" si="4"/>
        <v>9.5399999999999991</v>
      </c>
    </row>
    <row r="133" spans="1:9" x14ac:dyDescent="0.2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  <c r="H133">
        <f t="shared" si="5"/>
        <v>0.13961519486926494</v>
      </c>
      <c r="I133">
        <f t="shared" si="4"/>
        <v>10.135</v>
      </c>
    </row>
    <row r="134" spans="1:9" x14ac:dyDescent="0.2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  <c r="H134">
        <f t="shared" si="5"/>
        <v>0.13428827215756492</v>
      </c>
      <c r="I134">
        <f t="shared" si="4"/>
        <v>5.585</v>
      </c>
    </row>
    <row r="135" spans="1:9" x14ac:dyDescent="0.2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  <c r="H135">
        <f t="shared" si="5"/>
        <v>0.16313213703099511</v>
      </c>
      <c r="I135">
        <f t="shared" si="4"/>
        <v>6.13</v>
      </c>
    </row>
    <row r="136" spans="1:9" x14ac:dyDescent="0.2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  <c r="H136">
        <f t="shared" si="5"/>
        <v>0.17798466593647316</v>
      </c>
      <c r="I136">
        <f t="shared" si="4"/>
        <v>9.1300000000000008</v>
      </c>
    </row>
    <row r="137" spans="1:9" x14ac:dyDescent="0.2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  <c r="H137">
        <f t="shared" si="5"/>
        <v>0.14688601645123384</v>
      </c>
      <c r="I137">
        <f t="shared" si="4"/>
        <v>4.2549999999999999</v>
      </c>
    </row>
    <row r="138" spans="1:9" x14ac:dyDescent="0.2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  <c r="H138">
        <f t="shared" si="5"/>
        <v>0.1936108422071636</v>
      </c>
      <c r="I138">
        <f t="shared" si="4"/>
        <v>5.165</v>
      </c>
    </row>
    <row r="139" spans="1:9" x14ac:dyDescent="0.2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  <c r="H139">
        <f t="shared" si="5"/>
        <v>0.14134275618374559</v>
      </c>
      <c r="I139">
        <f t="shared" si="4"/>
        <v>7.0750000000000002</v>
      </c>
    </row>
    <row r="140" spans="1:9" x14ac:dyDescent="0.2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  <c r="H140">
        <f t="shared" si="5"/>
        <v>0.125</v>
      </c>
      <c r="I140">
        <f t="shared" si="4"/>
        <v>8</v>
      </c>
    </row>
    <row r="141" spans="1:9" x14ac:dyDescent="0.2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  <c r="H141">
        <f t="shared" si="5"/>
        <v>0.20896656534954408</v>
      </c>
      <c r="I141">
        <f t="shared" si="4"/>
        <v>6.58</v>
      </c>
    </row>
    <row r="142" spans="1:9" x14ac:dyDescent="0.2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  <c r="H142">
        <f t="shared" si="5"/>
        <v>0.20034344590726963</v>
      </c>
      <c r="I142">
        <f t="shared" si="4"/>
        <v>8.7349999999999994</v>
      </c>
    </row>
    <row r="143" spans="1:9" x14ac:dyDescent="0.2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  <c r="H143">
        <f t="shared" si="5"/>
        <v>0.19533527696793004</v>
      </c>
      <c r="I143">
        <f t="shared" si="4"/>
        <v>5.7166666666666659</v>
      </c>
    </row>
    <row r="144" spans="1:9" x14ac:dyDescent="0.2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  <c r="H144">
        <f t="shared" si="5"/>
        <v>0.12138868657441128</v>
      </c>
      <c r="I144">
        <f t="shared" si="4"/>
        <v>8.2379999999999995</v>
      </c>
    </row>
    <row r="145" spans="1:9" x14ac:dyDescent="0.2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  <c r="H145">
        <f t="shared" si="5"/>
        <v>0.18484288354898337</v>
      </c>
      <c r="I145">
        <f t="shared" si="4"/>
        <v>4.5083333333333337</v>
      </c>
    </row>
    <row r="146" spans="1:9" x14ac:dyDescent="0.2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  <c r="H146">
        <f t="shared" si="5"/>
        <v>0.13998782714546559</v>
      </c>
      <c r="I146">
        <f t="shared" si="4"/>
        <v>8.2149999999999999</v>
      </c>
    </row>
    <row r="147" spans="1:9" x14ac:dyDescent="0.2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  <c r="H147">
        <f t="shared" si="5"/>
        <v>0.17964071856287425</v>
      </c>
      <c r="I147">
        <f t="shared" si="4"/>
        <v>4.1749999999999998</v>
      </c>
    </row>
    <row r="148" spans="1:9" x14ac:dyDescent="0.2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  <c r="H148">
        <f t="shared" si="5"/>
        <v>7.2961373390557943E-2</v>
      </c>
      <c r="I148">
        <f t="shared" si="4"/>
        <v>6.2133333333333338</v>
      </c>
    </row>
    <row r="149" spans="1:9" x14ac:dyDescent="0.2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  <c r="H149">
        <f t="shared" si="5"/>
        <v>0.13732097725358045</v>
      </c>
      <c r="I149">
        <f t="shared" si="4"/>
        <v>5.9349999999999996</v>
      </c>
    </row>
    <row r="150" spans="1:9" x14ac:dyDescent="0.2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  <c r="H150">
        <f t="shared" si="5"/>
        <v>0.17689161554192229</v>
      </c>
      <c r="I150">
        <f t="shared" si="4"/>
        <v>4.8899999999999997</v>
      </c>
    </row>
    <row r="151" spans="1:9" x14ac:dyDescent="0.2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  <c r="H151">
        <f t="shared" si="5"/>
        <v>0.26631158455392812</v>
      </c>
      <c r="I151">
        <f t="shared" si="4"/>
        <v>3.7549999999999999</v>
      </c>
    </row>
    <row r="152" spans="1:9" x14ac:dyDescent="0.2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  <c r="H152">
        <f t="shared" si="5"/>
        <v>0.17768301350390903</v>
      </c>
      <c r="I152">
        <f t="shared" si="4"/>
        <v>7.0350000000000001</v>
      </c>
    </row>
    <row r="153" spans="1:9" x14ac:dyDescent="0.2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  <c r="H153">
        <f t="shared" si="5"/>
        <v>0.15232292460015232</v>
      </c>
      <c r="I153">
        <f t="shared" si="4"/>
        <v>6.5650000000000004</v>
      </c>
    </row>
    <row r="154" spans="1:9" x14ac:dyDescent="0.2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  <c r="H154">
        <f t="shared" si="5"/>
        <v>0.15874855156431053</v>
      </c>
      <c r="I154">
        <f t="shared" si="4"/>
        <v>5.7533333333333339</v>
      </c>
    </row>
    <row r="155" spans="1:9" x14ac:dyDescent="0.2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  <c r="H155">
        <f t="shared" si="5"/>
        <v>8.1466395112016296E-2</v>
      </c>
      <c r="I155">
        <f t="shared" si="4"/>
        <v>6.1375000000000002</v>
      </c>
    </row>
    <row r="156" spans="1:9" x14ac:dyDescent="0.2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  <c r="H156">
        <f t="shared" si="5"/>
        <v>0.10116337885685382</v>
      </c>
      <c r="I156">
        <f t="shared" si="4"/>
        <v>4.9424999999999999</v>
      </c>
    </row>
    <row r="157" spans="1:9" x14ac:dyDescent="0.2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  <c r="H157">
        <f t="shared" si="5"/>
        <v>0.17219430485762141</v>
      </c>
      <c r="I157">
        <f t="shared" si="4"/>
        <v>5.9700000000000006</v>
      </c>
    </row>
    <row r="158" spans="1:9" x14ac:dyDescent="0.2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  <c r="H158">
        <f t="shared" si="5"/>
        <v>0.10379904504878555</v>
      </c>
      <c r="I158">
        <f t="shared" si="4"/>
        <v>8.0283333333333342</v>
      </c>
    </row>
    <row r="159" spans="1:9" x14ac:dyDescent="0.2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  <c r="H159">
        <f t="shared" si="5"/>
        <v>0.15</v>
      </c>
      <c r="I159">
        <f t="shared" si="4"/>
        <v>6.25</v>
      </c>
    </row>
    <row r="160" spans="1:9" x14ac:dyDescent="0.2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  <c r="H160">
        <f t="shared" si="5"/>
        <v>0.19492158327109782</v>
      </c>
      <c r="I160">
        <f t="shared" si="4"/>
        <v>6.6950000000000003</v>
      </c>
    </row>
    <row r="161" spans="1:9" x14ac:dyDescent="0.2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  <c r="H161">
        <f t="shared" si="5"/>
        <v>0.12128562765312312</v>
      </c>
      <c r="I161">
        <f t="shared" si="4"/>
        <v>4.1224999999999996</v>
      </c>
    </row>
    <row r="162" spans="1:9" x14ac:dyDescent="0.2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  <c r="H162">
        <f t="shared" si="5"/>
        <v>0.16279069767441862</v>
      </c>
      <c r="I162">
        <f t="shared" si="4"/>
        <v>5.375</v>
      </c>
    </row>
    <row r="163" spans="1:9" x14ac:dyDescent="0.2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  <c r="H163">
        <f t="shared" si="5"/>
        <v>0.19747235387045814</v>
      </c>
      <c r="I163">
        <f t="shared" si="4"/>
        <v>6.33</v>
      </c>
    </row>
    <row r="164" spans="1:9" x14ac:dyDescent="0.2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  <c r="H164">
        <f t="shared" si="5"/>
        <v>0.12338062924120913</v>
      </c>
      <c r="I164">
        <f t="shared" si="4"/>
        <v>5.4033333333333333</v>
      </c>
    </row>
    <row r="165" spans="1:9" x14ac:dyDescent="0.2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  <c r="H165">
        <f t="shared" si="5"/>
        <v>0.14482259232440259</v>
      </c>
      <c r="I165">
        <f t="shared" si="4"/>
        <v>6.9050000000000002</v>
      </c>
    </row>
    <row r="166" spans="1:9" x14ac:dyDescent="0.2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  <c r="H166">
        <f t="shared" si="5"/>
        <v>0.17133066818960593</v>
      </c>
      <c r="I166">
        <f t="shared" si="4"/>
        <v>8.7550000000000008</v>
      </c>
    </row>
    <row r="167" spans="1:9" x14ac:dyDescent="0.2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  <c r="H167">
        <f t="shared" si="5"/>
        <v>0.14192495921696574</v>
      </c>
      <c r="I167">
        <f t="shared" si="4"/>
        <v>8.1733333333333338</v>
      </c>
    </row>
    <row r="168" spans="1:9" x14ac:dyDescent="0.2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  <c r="H168">
        <f t="shared" si="5"/>
        <v>0.10789980732177264</v>
      </c>
      <c r="I168">
        <f t="shared" si="4"/>
        <v>10.38</v>
      </c>
    </row>
    <row r="169" spans="1:9" x14ac:dyDescent="0.2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  <c r="H169">
        <f t="shared" si="5"/>
        <v>0.14191106906338694</v>
      </c>
      <c r="I169">
        <f t="shared" si="4"/>
        <v>7.9275000000000002</v>
      </c>
    </row>
    <row r="170" spans="1:9" x14ac:dyDescent="0.2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  <c r="H170">
        <f t="shared" si="5"/>
        <v>0.15203021718602455</v>
      </c>
      <c r="I170">
        <f t="shared" si="4"/>
        <v>5.2949999999999999</v>
      </c>
    </row>
    <row r="171" spans="1:9" x14ac:dyDescent="0.2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  <c r="H171">
        <f t="shared" si="5"/>
        <v>0.18814675446848542</v>
      </c>
      <c r="I171">
        <f t="shared" si="4"/>
        <v>5.3150000000000004</v>
      </c>
    </row>
    <row r="172" spans="1:9" x14ac:dyDescent="0.2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  <c r="H172">
        <f t="shared" si="5"/>
        <v>0.19681165124975397</v>
      </c>
      <c r="I172">
        <f t="shared" si="4"/>
        <v>16.936666666666667</v>
      </c>
    </row>
    <row r="173" spans="1:9" x14ac:dyDescent="0.2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  <c r="H173">
        <f t="shared" si="5"/>
        <v>0.19987349778621127</v>
      </c>
      <c r="I173">
        <f t="shared" si="4"/>
        <v>7.9050000000000002</v>
      </c>
    </row>
    <row r="174" spans="1:9" x14ac:dyDescent="0.2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  <c r="H174">
        <f t="shared" si="5"/>
        <v>0.71034482758620698</v>
      </c>
      <c r="I174">
        <f t="shared" si="4"/>
        <v>3.625</v>
      </c>
    </row>
    <row r="175" spans="1:9" x14ac:dyDescent="0.2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  <c r="H175">
        <f t="shared" si="5"/>
        <v>9.9843014128728411E-2</v>
      </c>
      <c r="I175">
        <f t="shared" si="4"/>
        <v>15.925000000000001</v>
      </c>
    </row>
    <row r="176" spans="1:9" x14ac:dyDescent="0.2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  <c r="H176">
        <f t="shared" si="5"/>
        <v>0.23781212841854935</v>
      </c>
      <c r="I176">
        <f t="shared" si="4"/>
        <v>8.41</v>
      </c>
    </row>
    <row r="177" spans="1:9" x14ac:dyDescent="0.2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  <c r="H177">
        <f t="shared" si="5"/>
        <v>9.4528875379939203E-2</v>
      </c>
      <c r="I177">
        <f t="shared" si="4"/>
        <v>16.45</v>
      </c>
    </row>
    <row r="178" spans="1:9" x14ac:dyDescent="0.2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  <c r="H178">
        <f t="shared" si="5"/>
        <v>0.11179429849077696</v>
      </c>
      <c r="I178">
        <f t="shared" si="4"/>
        <v>8.9450000000000003</v>
      </c>
    </row>
    <row r="179" spans="1:9" x14ac:dyDescent="0.2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  <c r="H179">
        <f t="shared" si="5"/>
        <v>0.13812154696132597</v>
      </c>
      <c r="I179">
        <f t="shared" si="4"/>
        <v>7.24</v>
      </c>
    </row>
    <row r="180" spans="1:9" x14ac:dyDescent="0.2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  <c r="H180">
        <f t="shared" si="5"/>
        <v>0.41666666666666669</v>
      </c>
      <c r="I180">
        <f t="shared" si="4"/>
        <v>4.8</v>
      </c>
    </row>
    <row r="181" spans="1:9" x14ac:dyDescent="0.2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  <c r="H181">
        <f t="shared" si="5"/>
        <v>0.102512272596015</v>
      </c>
      <c r="I181">
        <f t="shared" si="4"/>
        <v>17.315000000000001</v>
      </c>
    </row>
    <row r="182" spans="1:9" x14ac:dyDescent="0.2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  <c r="H182">
        <f t="shared" si="5"/>
        <v>0.10620490620490622</v>
      </c>
      <c r="I182">
        <f t="shared" si="4"/>
        <v>8.6624999999999996</v>
      </c>
    </row>
    <row r="183" spans="1:9" x14ac:dyDescent="0.2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  <c r="H183">
        <f t="shared" si="5"/>
        <v>0.24217745392198889</v>
      </c>
      <c r="I183">
        <f t="shared" si="4"/>
        <v>11.664999999999999</v>
      </c>
    </row>
    <row r="184" spans="1:9" x14ac:dyDescent="0.2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  <c r="H184">
        <f t="shared" si="5"/>
        <v>7.7177508269018744E-2</v>
      </c>
      <c r="I184">
        <f t="shared" si="4"/>
        <v>15.116666666666667</v>
      </c>
    </row>
    <row r="185" spans="1:9" x14ac:dyDescent="0.2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  <c r="H185">
        <f t="shared" si="5"/>
        <v>0.28053517479499351</v>
      </c>
      <c r="I185">
        <f t="shared" si="4"/>
        <v>5.7925000000000004</v>
      </c>
    </row>
    <row r="186" spans="1:9" x14ac:dyDescent="0.2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  <c r="H186">
        <f t="shared" si="5"/>
        <v>7.3982737361282372E-2</v>
      </c>
      <c r="I186">
        <f t="shared" si="4"/>
        <v>20.274999999999999</v>
      </c>
    </row>
    <row r="187" spans="1:9" x14ac:dyDescent="0.2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  <c r="H187">
        <f t="shared" si="5"/>
        <v>0.24166263895601739</v>
      </c>
      <c r="I187">
        <f t="shared" si="4"/>
        <v>4.1379999999999999</v>
      </c>
    </row>
    <row r="188" spans="1:9" x14ac:dyDescent="0.2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  <c r="H188">
        <f t="shared" si="5"/>
        <v>0.1674641148325359</v>
      </c>
      <c r="I188">
        <f t="shared" si="4"/>
        <v>6.9666666666666659</v>
      </c>
    </row>
    <row r="189" spans="1:9" x14ac:dyDescent="0.2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  <c r="H189">
        <f t="shared" si="5"/>
        <v>6.5659881812212731E-2</v>
      </c>
      <c r="I189">
        <f t="shared" si="4"/>
        <v>6.0920000000000005</v>
      </c>
    </row>
    <row r="190" spans="1:9" x14ac:dyDescent="0.2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  <c r="H190">
        <f t="shared" si="5"/>
        <v>0.1928374655647383</v>
      </c>
      <c r="I190">
        <f t="shared" si="4"/>
        <v>6.05</v>
      </c>
    </row>
    <row r="191" spans="1:9" x14ac:dyDescent="0.2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  <c r="H191">
        <f t="shared" si="5"/>
        <v>0.17316017316017315</v>
      </c>
      <c r="I191">
        <f t="shared" si="4"/>
        <v>7.7</v>
      </c>
    </row>
    <row r="192" spans="1:9" x14ac:dyDescent="0.2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  <c r="H192">
        <f t="shared" si="5"/>
        <v>9.5602294455066919E-2</v>
      </c>
      <c r="I192">
        <f t="shared" si="4"/>
        <v>7.8449999999999998</v>
      </c>
    </row>
    <row r="193" spans="1:9" x14ac:dyDescent="0.2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  <c r="H193">
        <f t="shared" si="5"/>
        <v>0.21150933871781932</v>
      </c>
      <c r="I193">
        <f t="shared" si="4"/>
        <v>9.9049999999999994</v>
      </c>
    </row>
    <row r="194" spans="1:9" x14ac:dyDescent="0.2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  <c r="H194">
        <f t="shared" si="5"/>
        <v>9.0014064697609003E-2</v>
      </c>
      <c r="I194">
        <f t="shared" si="4"/>
        <v>14.22</v>
      </c>
    </row>
    <row r="195" spans="1:9" x14ac:dyDescent="0.2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  <c r="H195">
        <f t="shared" si="5"/>
        <v>0.13049095607235142</v>
      </c>
      <c r="I195">
        <f t="shared" ref="I195:I245" si="6">A195/G195</f>
        <v>7.74</v>
      </c>
    </row>
    <row r="196" spans="1:9" x14ac:dyDescent="0.2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  <c r="H196">
        <f t="shared" ref="H196:H247" si="7">B196/A196</f>
        <v>0.24125452352231608</v>
      </c>
      <c r="I196">
        <f t="shared" si="6"/>
        <v>8.2899999999999991</v>
      </c>
    </row>
    <row r="197" spans="1:9" x14ac:dyDescent="0.2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  <c r="H197">
        <f t="shared" si="7"/>
        <v>0.19047619047619047</v>
      </c>
      <c r="I197">
        <f t="shared" si="6"/>
        <v>3.78</v>
      </c>
    </row>
    <row r="198" spans="1:9" x14ac:dyDescent="0.2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  <c r="H198">
        <f t="shared" si="7"/>
        <v>0.19342359767891684</v>
      </c>
      <c r="I198">
        <f t="shared" si="6"/>
        <v>5.17</v>
      </c>
    </row>
    <row r="199" spans="1:9" x14ac:dyDescent="0.2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  <c r="H199">
        <f t="shared" si="7"/>
        <v>0.11598237067965669</v>
      </c>
      <c r="I199">
        <f t="shared" si="6"/>
        <v>10.7775</v>
      </c>
    </row>
    <row r="200" spans="1:9" x14ac:dyDescent="0.2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  <c r="H200">
        <f t="shared" si="7"/>
        <v>0.15384615384615385</v>
      </c>
      <c r="I200">
        <f t="shared" si="6"/>
        <v>6.5</v>
      </c>
    </row>
    <row r="201" spans="1:9" x14ac:dyDescent="0.2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  <c r="H201">
        <f t="shared" si="7"/>
        <v>0.14803849000740193</v>
      </c>
      <c r="I201">
        <f t="shared" si="6"/>
        <v>6.7549999999999999</v>
      </c>
    </row>
    <row r="202" spans="1:9" x14ac:dyDescent="0.2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  <c r="H202">
        <f t="shared" si="7"/>
        <v>0.2137894174238375</v>
      </c>
      <c r="I202">
        <f t="shared" si="6"/>
        <v>6.2366666666666672</v>
      </c>
    </row>
    <row r="203" spans="1:9" x14ac:dyDescent="0.2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  <c r="H203">
        <f t="shared" si="7"/>
        <v>0.15777080062794346</v>
      </c>
      <c r="I203">
        <f t="shared" si="6"/>
        <v>6.37</v>
      </c>
    </row>
    <row r="204" spans="1:9" x14ac:dyDescent="0.2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  <c r="H204">
        <f t="shared" si="7"/>
        <v>0.15384615384615385</v>
      </c>
      <c r="I204">
        <f t="shared" si="6"/>
        <v>6.5</v>
      </c>
    </row>
    <row r="205" spans="1:9" x14ac:dyDescent="0.2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  <c r="H205">
        <f t="shared" si="7"/>
        <v>0.15243902439024393</v>
      </c>
      <c r="I205">
        <f t="shared" si="6"/>
        <v>8.1999999999999993</v>
      </c>
    </row>
    <row r="206" spans="1:9" x14ac:dyDescent="0.2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  <c r="H206">
        <f t="shared" si="7"/>
        <v>0.19483682415976619</v>
      </c>
      <c r="I206">
        <f t="shared" si="6"/>
        <v>5.1325000000000003</v>
      </c>
    </row>
    <row r="207" spans="1:9" x14ac:dyDescent="0.2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  <c r="H207">
        <f t="shared" si="7"/>
        <v>0.19611414693381907</v>
      </c>
      <c r="I207">
        <f t="shared" si="6"/>
        <v>5.4899999999999993</v>
      </c>
    </row>
    <row r="208" spans="1:9" x14ac:dyDescent="0.2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  <c r="H208">
        <f t="shared" si="7"/>
        <v>0.1282437006393381</v>
      </c>
      <c r="I208">
        <f t="shared" si="6"/>
        <v>8.8633333333333333</v>
      </c>
    </row>
    <row r="209" spans="1:9" x14ac:dyDescent="0.2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  <c r="H209">
        <f t="shared" si="7"/>
        <v>7.7459333849728904E-2</v>
      </c>
      <c r="I209">
        <f t="shared" si="6"/>
        <v>9.6824999999999992</v>
      </c>
    </row>
    <row r="210" spans="1:9" x14ac:dyDescent="0.2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  <c r="H210">
        <f t="shared" si="7"/>
        <v>8.3642356819118246E-2</v>
      </c>
      <c r="I210">
        <f t="shared" si="6"/>
        <v>12.135</v>
      </c>
    </row>
    <row r="211" spans="1:9" x14ac:dyDescent="0.2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  <c r="H211">
        <f t="shared" si="7"/>
        <v>0.17476489028213166</v>
      </c>
      <c r="I211">
        <f t="shared" si="6"/>
        <v>6.38</v>
      </c>
    </row>
    <row r="212" spans="1:9" x14ac:dyDescent="0.2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  <c r="H212">
        <f t="shared" si="7"/>
        <v>6.6533599467731214E-2</v>
      </c>
      <c r="I212">
        <f t="shared" si="6"/>
        <v>10.02</v>
      </c>
    </row>
    <row r="213" spans="1:9" x14ac:dyDescent="0.2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  <c r="H213">
        <f t="shared" si="7"/>
        <v>0.19930475086906141</v>
      </c>
      <c r="I213">
        <f t="shared" si="6"/>
        <v>6.4725000000000001</v>
      </c>
    </row>
    <row r="214" spans="1:9" x14ac:dyDescent="0.2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  <c r="H214">
        <f t="shared" si="7"/>
        <v>0.18621973929236499</v>
      </c>
      <c r="I214">
        <f t="shared" si="6"/>
        <v>12.0825</v>
      </c>
    </row>
    <row r="215" spans="1:9" x14ac:dyDescent="0.2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  <c r="H215">
        <f t="shared" si="7"/>
        <v>0.18839487565938207</v>
      </c>
      <c r="I215">
        <f t="shared" si="6"/>
        <v>6.6349999999999998</v>
      </c>
    </row>
    <row r="216" spans="1:9" x14ac:dyDescent="0.2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  <c r="H216">
        <f t="shared" si="7"/>
        <v>0.23074192403265883</v>
      </c>
      <c r="I216">
        <f t="shared" si="6"/>
        <v>9.39</v>
      </c>
    </row>
    <row r="217" spans="1:9" x14ac:dyDescent="0.2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  <c r="H217">
        <f t="shared" si="7"/>
        <v>8.5271317829457363E-2</v>
      </c>
      <c r="I217">
        <f t="shared" si="6"/>
        <v>6.45</v>
      </c>
    </row>
    <row r="218" spans="1:9" x14ac:dyDescent="0.2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  <c r="H218">
        <f t="shared" si="7"/>
        <v>0.10657193605683837</v>
      </c>
      <c r="I218">
        <f t="shared" si="6"/>
        <v>5.63</v>
      </c>
    </row>
    <row r="219" spans="1:9" x14ac:dyDescent="0.2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  <c r="H219">
        <f t="shared" si="7"/>
        <v>0.12942191544434858</v>
      </c>
      <c r="I219">
        <f t="shared" si="6"/>
        <v>5.7949999999999999</v>
      </c>
    </row>
    <row r="220" spans="1:9" x14ac:dyDescent="0.2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  <c r="H220">
        <f t="shared" si="7"/>
        <v>0.18604651162790697</v>
      </c>
      <c r="I220">
        <f t="shared" si="6"/>
        <v>3.87</v>
      </c>
    </row>
    <row r="221" spans="1:9" x14ac:dyDescent="0.2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  <c r="H221">
        <f t="shared" si="7"/>
        <v>0.10252156602521566</v>
      </c>
      <c r="I221">
        <f t="shared" si="6"/>
        <v>7.5350000000000001</v>
      </c>
    </row>
    <row r="222" spans="1:9" x14ac:dyDescent="0.2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  <c r="H222">
        <f t="shared" si="7"/>
        <v>0.18092105263157895</v>
      </c>
      <c r="I222">
        <f t="shared" si="6"/>
        <v>6.08</v>
      </c>
    </row>
    <row r="223" spans="1:9" x14ac:dyDescent="0.2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  <c r="H223">
        <f t="shared" si="7"/>
        <v>0.25931445603576753</v>
      </c>
      <c r="I223">
        <f t="shared" si="6"/>
        <v>6.71</v>
      </c>
    </row>
    <row r="224" spans="1:9" x14ac:dyDescent="0.2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  <c r="H224">
        <f t="shared" si="7"/>
        <v>0.22377622377622378</v>
      </c>
      <c r="I224">
        <f t="shared" si="6"/>
        <v>8.58</v>
      </c>
    </row>
    <row r="225" spans="1:9" x14ac:dyDescent="0.2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  <c r="H225">
        <f t="shared" si="7"/>
        <v>0.18773466833541927</v>
      </c>
      <c r="I225">
        <f t="shared" si="6"/>
        <v>5.3266666666666671</v>
      </c>
    </row>
    <row r="226" spans="1:9" x14ac:dyDescent="0.2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  <c r="H226">
        <f t="shared" si="7"/>
        <v>0.11773472429210134</v>
      </c>
      <c r="I226">
        <f t="shared" si="6"/>
        <v>6.71</v>
      </c>
    </row>
    <row r="227" spans="1:9" x14ac:dyDescent="0.2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  <c r="H227">
        <f t="shared" si="7"/>
        <v>0.15365703749231716</v>
      </c>
      <c r="I227">
        <f t="shared" si="6"/>
        <v>8.1349999999999998</v>
      </c>
    </row>
    <row r="228" spans="1:9" x14ac:dyDescent="0.2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  <c r="H228">
        <f t="shared" si="7"/>
        <v>0.19821605550049554</v>
      </c>
      <c r="I228">
        <f t="shared" si="6"/>
        <v>5.0449999999999999</v>
      </c>
    </row>
    <row r="229" spans="1:9" x14ac:dyDescent="0.2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  <c r="H229">
        <f t="shared" si="7"/>
        <v>0.14669926650366749</v>
      </c>
      <c r="I229">
        <f t="shared" si="6"/>
        <v>5.1124999999999998</v>
      </c>
    </row>
    <row r="230" spans="1:9" x14ac:dyDescent="0.2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  <c r="H230">
        <f t="shared" si="7"/>
        <v>0.20481927710843376</v>
      </c>
      <c r="I230">
        <f t="shared" si="6"/>
        <v>6.64</v>
      </c>
    </row>
    <row r="231" spans="1:9" x14ac:dyDescent="0.2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  <c r="H231">
        <f t="shared" si="7"/>
        <v>0.13019891500904157</v>
      </c>
      <c r="I231">
        <f t="shared" si="6"/>
        <v>11.06</v>
      </c>
    </row>
    <row r="232" spans="1:9" x14ac:dyDescent="0.2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  <c r="H232">
        <f t="shared" si="7"/>
        <v>8.3298625572678045E-2</v>
      </c>
      <c r="I232">
        <f t="shared" si="6"/>
        <v>6.0025000000000004</v>
      </c>
    </row>
    <row r="233" spans="1:9" x14ac:dyDescent="0.2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  <c r="H233">
        <f t="shared" si="7"/>
        <v>0.19120458891013384</v>
      </c>
      <c r="I233">
        <f t="shared" si="6"/>
        <v>5.2299999999999995</v>
      </c>
    </row>
    <row r="234" spans="1:9" x14ac:dyDescent="0.2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  <c r="H234">
        <f t="shared" si="7"/>
        <v>0.29198966408268734</v>
      </c>
      <c r="I234">
        <f t="shared" si="6"/>
        <v>5.8049999999999997</v>
      </c>
    </row>
    <row r="235" spans="1:9" x14ac:dyDescent="0.2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  <c r="H235">
        <f t="shared" si="7"/>
        <v>0.13649025069637882</v>
      </c>
      <c r="I235">
        <f t="shared" si="6"/>
        <v>5.3849999999999998</v>
      </c>
    </row>
    <row r="236" spans="1:9" x14ac:dyDescent="0.2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  <c r="H236">
        <f t="shared" si="7"/>
        <v>0.19317450096587252</v>
      </c>
      <c r="I236">
        <f t="shared" si="6"/>
        <v>7.7649999999999997</v>
      </c>
    </row>
    <row r="237" spans="1:9" x14ac:dyDescent="0.2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  <c r="H237">
        <f t="shared" si="7"/>
        <v>0.12413108242303872</v>
      </c>
      <c r="I237">
        <f t="shared" si="6"/>
        <v>5.0350000000000001</v>
      </c>
    </row>
    <row r="238" spans="1:9" x14ac:dyDescent="0.2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  <c r="H238">
        <f t="shared" si="7"/>
        <v>7.9365079365079361E-2</v>
      </c>
      <c r="I238">
        <f t="shared" si="6"/>
        <v>6.3</v>
      </c>
    </row>
    <row r="239" spans="1:9" x14ac:dyDescent="0.2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  <c r="H239">
        <f t="shared" si="7"/>
        <v>3.5638135851355467E-2</v>
      </c>
      <c r="I239">
        <f t="shared" si="6"/>
        <v>16.414999999999999</v>
      </c>
    </row>
    <row r="240" spans="1:9" x14ac:dyDescent="0.2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  <c r="H240">
        <f t="shared" si="7"/>
        <v>0.13033770583310075</v>
      </c>
      <c r="I240">
        <f t="shared" si="6"/>
        <v>11.943333333333333</v>
      </c>
    </row>
    <row r="241" spans="1:9" x14ac:dyDescent="0.2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  <c r="H241">
        <f t="shared" si="7"/>
        <v>0.20392697209782981</v>
      </c>
      <c r="I241">
        <f t="shared" si="6"/>
        <v>9.6766666666666676</v>
      </c>
    </row>
    <row r="242" spans="1:9" x14ac:dyDescent="0.2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  <c r="H242">
        <f t="shared" si="7"/>
        <v>7.358351729212656E-2</v>
      </c>
      <c r="I242">
        <f t="shared" si="6"/>
        <v>13.59</v>
      </c>
    </row>
    <row r="243" spans="1:9" x14ac:dyDescent="0.2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  <c r="H243">
        <f t="shared" si="7"/>
        <v>8.8222320247022493E-2</v>
      </c>
      <c r="I243">
        <f t="shared" si="6"/>
        <v>11.335000000000001</v>
      </c>
    </row>
    <row r="244" spans="1:9" x14ac:dyDescent="0.2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  <c r="H244">
        <f t="shared" si="7"/>
        <v>9.8204264870931535E-2</v>
      </c>
      <c r="I244">
        <f t="shared" si="6"/>
        <v>8.91</v>
      </c>
    </row>
    <row r="245" spans="1:9" x14ac:dyDescent="0.2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  <c r="H245">
        <f t="shared" si="7"/>
        <v>0.15974440894568689</v>
      </c>
      <c r="I245">
        <f t="shared" si="6"/>
        <v>9.39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data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Joshi</cp:lastModifiedBy>
  <dcterms:created xsi:type="dcterms:W3CDTF">2026-04-15T10:21:42Z</dcterms:created>
  <dcterms:modified xsi:type="dcterms:W3CDTF">2026-04-15T10:38:54Z</dcterms:modified>
</cp:coreProperties>
</file>